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 name="Run History" sheetId="3" state="visible" r:id="rId3"/>
  </sheets>
  <definedNames>
    <definedName name="_xlnm._FilterDatabase" localSheetId="0" hidden="1">'Test Cases'!$A$1:$O$31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2" customWidth="1" min="3" max="3"/>
    <col width="40" customWidth="1" min="4" max="4"/>
    <col width="42" customWidth="1" min="5" max="5"/>
    <col width="48" customWidth="1" min="6" max="6"/>
    <col width="55" customWidth="1" min="7" max="7"/>
    <col width="10" customWidth="1" min="8" max="8"/>
    <col width="14" customWidth="1" min="9" max="9"/>
    <col width="14" customWidth="1" min="10" max="10"/>
    <col width="14" customWidth="1" min="11" max="11"/>
    <col width="45" customWidth="1" min="12" max="12"/>
    <col width="35" customWidth="1" min="13" max="13"/>
    <col width="22" customWidth="1" min="14" max="14"/>
    <col width="35" customWidth="1" min="15" max="15"/>
  </cols>
  <sheetData>
    <row r="1">
      <c r="A1" s="1" t="inlineStr">
        <is>
          <t>TC ID</t>
        </is>
      </c>
      <c r="B1" s="1" t="inlineStr">
        <is>
          <t>Area</t>
        </is>
      </c>
      <c r="C1" s="1" t="inlineStr">
        <is>
          <t>Module</t>
        </is>
      </c>
      <c r="D1" s="1" t="inlineStr">
        <is>
          <t>Scenario</t>
        </is>
      </c>
      <c r="E1" s="1" t="inlineStr">
        <is>
          <t>Precondition</t>
        </is>
      </c>
      <c r="F1" s="1" t="inlineStr">
        <is>
          <t>Test Steps</t>
        </is>
      </c>
      <c r="G1" s="1" t="inlineStr">
        <is>
          <t>Expected Result</t>
        </is>
      </c>
      <c r="H1" s="1" t="inlineStr">
        <is>
          <t>Priority</t>
        </is>
      </c>
      <c r="I1" s="1" t="inlineStr">
        <is>
          <t>Type</t>
        </is>
      </c>
      <c r="J1" s="1" t="inlineStr">
        <is>
          <t>Automation</t>
        </is>
      </c>
      <c r="K1" s="1" t="inlineStr">
        <is>
          <t>Status</t>
        </is>
      </c>
      <c r="L1" s="1" t="inlineStr">
        <is>
          <t>Actual Result</t>
        </is>
      </c>
      <c r="M1" s="1" t="inlineStr">
        <is>
          <t>Evidence</t>
        </is>
      </c>
      <c r="N1" s="1" t="inlineStr">
        <is>
          <t>Executed At</t>
        </is>
      </c>
      <c r="O1" s="1" t="inlineStr">
        <is>
          <t>Notes</t>
        </is>
      </c>
    </row>
    <row r="2">
      <c r="A2" s="2" t="inlineStr">
        <is>
          <t>GEO-001</t>
        </is>
      </c>
      <c r="B2" s="2" t="inlineStr">
        <is>
          <t>Geocoding</t>
        </is>
      </c>
      <c r="C2" s="2" t="inlineStr">
        <is>
          <t>Address</t>
        </is>
      </c>
      <c r="D2" s="2" t="inlineStr">
        <is>
          <t>Create address with 0,0 coordinates</t>
        </is>
      </c>
      <c r="E2" s="2" t="inlineStr">
        <is>
          <t>Authenticated customer; isolated E2E DB; Google stub</t>
        </is>
      </c>
      <c r="F2" s="2" t="inlineStr">
        <is>
          <t>Create valid address using default 0,0</t>
        </is>
      </c>
      <c r="G2" s="2" t="inlineStr">
        <is>
          <t>201; server geocodes; valid non-zero coordinates persisted</t>
        </is>
      </c>
      <c r="H2" s="2" t="inlineStr">
        <is>
          <t>P0</t>
        </is>
      </c>
      <c r="I2" s="2" t="inlineStr">
        <is>
          <t>E2E</t>
        </is>
      </c>
      <c r="J2" s="2" t="inlineStr">
        <is>
          <t>Automated</t>
        </is>
      </c>
      <c r="K2" s="2" t="inlineStr">
        <is>
          <t>PASS</t>
        </is>
      </c>
      <c r="L2" s="2" t="inlineStr">
        <is>
          <t>HTTP 201; browser posted 0,0; server persisted -6.9207623, 107.6096701</t>
        </is>
      </c>
      <c r="M2" s="2" t="inlineStr">
        <is>
          <t>Playwright GEO-001 (chromium, isolated stack :3010/:3011)</t>
        </is>
      </c>
      <c r="N2" s="2" t="inlineStr">
        <is>
          <t>2026-09-04</t>
        </is>
      </c>
      <c r="O2" s="2" t="inlineStr">
        <is>
          <t>Real UI form; server replaced the placeholder.</t>
        </is>
      </c>
    </row>
    <row r="3">
      <c r="A3" s="2" t="inlineStr">
        <is>
          <t>GEO-002</t>
        </is>
      </c>
      <c r="B3" s="2" t="inlineStr">
        <is>
          <t>Shipping</t>
        </is>
      </c>
      <c r="C3" s="2" t="inlineStr">
        <is>
          <t>Checkout</t>
        </is>
      </c>
      <c r="D3" s="2" t="inlineStr">
        <is>
          <t>Display Paxel shipping options</t>
        </is>
      </c>
      <c r="E3" s="2" t="inlineStr">
        <is>
          <t>Geocoded customer address; Paxel stub</t>
        </is>
      </c>
      <c r="F3" s="2" t="inlineStr">
        <is>
          <t>Open checkout/shipping options</t>
        </is>
      </c>
      <c r="G3" s="2" t="inlineStr">
        <is>
          <t>Deterministic Paxel options render successfully</t>
        </is>
      </c>
      <c r="H3" s="2" t="inlineStr">
        <is>
          <t>P0</t>
        </is>
      </c>
      <c r="I3" s="2" t="inlineStr">
        <is>
          <t>E2E</t>
        </is>
      </c>
      <c r="J3" s="2" t="inlineStr">
        <is>
          <t>Automated</t>
        </is>
      </c>
      <c r="K3" s="2" t="inlineStr">
        <is>
          <t>PASS</t>
        </is>
      </c>
      <c r="L3" s="2" t="inlineStr">
        <is>
          <t>4 Paxel services rendered at Rp 47.321 (stub price)</t>
        </is>
      </c>
      <c r="M3" s="2" t="inlineStr">
        <is>
          <t>Playwright GEO-002</t>
        </is>
      </c>
      <c r="N3" s="2" t="inlineStr">
        <is>
          <t>2026-09-04</t>
        </is>
      </c>
      <c r="O3" s="2" t="inlineStr">
        <is>
          <t>No empty/error shipping state.</t>
        </is>
      </c>
    </row>
    <row r="4">
      <c r="A4" s="2" t="inlineStr">
        <is>
          <t>GEO-003</t>
        </is>
      </c>
      <c r="B4" s="2" t="inlineStr">
        <is>
          <t>Shipping</t>
        </is>
      </c>
      <c r="C4" s="2" t="inlineStr">
        <is>
          <t>Paxel</t>
        </is>
      </c>
      <c r="D4" s="2" t="inlineStr">
        <is>
          <t>Send persisted coordinates to Paxel</t>
        </is>
      </c>
      <c r="E4" s="2" t="inlineStr">
        <is>
          <t>Geocoded address; capture stub</t>
        </is>
      </c>
      <c r="F4" s="2" t="inlineStr">
        <is>
          <t>Trigger shipping options and inspect payload</t>
        </is>
      </c>
      <c r="G4" s="2" t="inlineStr">
        <is>
          <t>Exact persisted lat/lng sent; no 0,0 or Jakarta placeholder</t>
        </is>
      </c>
      <c r="H4" s="2" t="inlineStr">
        <is>
          <t>P0</t>
        </is>
      </c>
      <c r="I4" s="2" t="inlineStr">
        <is>
          <t>E2E</t>
        </is>
      </c>
      <c r="J4" s="2" t="inlineStr">
        <is>
          <t>Automated</t>
        </is>
      </c>
      <c r="K4" s="2" t="inlineStr">
        <is>
          <t>PASS</t>
        </is>
      </c>
      <c r="L4" s="2" t="inlineStr">
        <is>
          <t>All captured Paxel payloads carried -6.9207623, 107.6096701; zero 0,0</t>
        </is>
      </c>
      <c r="M4" s="2" t="inlineStr">
        <is>
          <t>Playwright GEO-003; paxel-capture.json (8 stub calls)</t>
        </is>
      </c>
      <c r="N4" s="2" t="inlineStr">
        <is>
          <t>2026-09-04</t>
        </is>
      </c>
      <c r="O4" s="2" t="inlineStr">
        <is>
          <t>Coordinate came from persisted state, not the browser.</t>
        </is>
      </c>
    </row>
    <row r="5">
      <c r="A5" s="2" t="inlineStr">
        <is>
          <t>GEO-004</t>
        </is>
      </c>
      <c r="B5" s="2" t="inlineStr">
        <is>
          <t>Geocoding</t>
        </is>
      </c>
      <c r="C5" s="2" t="inlineStr">
        <is>
          <t>Address</t>
        </is>
      </c>
      <c r="D5" s="2" t="inlineStr">
        <is>
          <t>Edit legacy 0,0 address</t>
        </is>
      </c>
      <c r="E5" s="2" t="inlineStr">
        <is>
          <t>Address exists with 0,0</t>
        </is>
      </c>
      <c r="F5" s="2" t="inlineStr">
        <is>
          <t>Edit text/label and submit</t>
        </is>
      </c>
      <c r="G5" s="2" t="inlineStr">
        <is>
          <t>Success; invalid coordinates omitted; coordinates unchanged; no Google call</t>
        </is>
      </c>
      <c r="H5" s="2" t="inlineStr">
        <is>
          <t>P0</t>
        </is>
      </c>
      <c r="I5" s="2" t="inlineStr">
        <is>
          <t>E2E</t>
        </is>
      </c>
      <c r="J5" s="2" t="inlineStr">
        <is>
          <t>Automated</t>
        </is>
      </c>
      <c r="K5" s="2" t="inlineStr">
        <is>
          <t>PASS</t>
        </is>
      </c>
      <c r="L5" s="2" t="inlineStr">
        <is>
          <t>UI edit re-sent the real pin (200); API PATCH 0,0 refused 400; pin intact</t>
        </is>
      </c>
      <c r="M5" s="2" t="inlineStr">
        <is>
          <t>Playwright GEO-004</t>
        </is>
      </c>
      <c r="N5" s="2" t="inlineStr">
        <is>
          <t>2026-09-04</t>
        </is>
      </c>
      <c r="O5" s="2" t="inlineStr">
        <is>
          <t>0,0 is unreachable through the edit UI.</t>
        </is>
      </c>
    </row>
    <row r="6">
      <c r="A6" s="2" t="inlineStr">
        <is>
          <t>GEO-005</t>
        </is>
      </c>
      <c r="B6" s="2" t="inlineStr">
        <is>
          <t>Geocoding</t>
        </is>
      </c>
      <c r="C6" s="2" t="inlineStr">
        <is>
          <t>Validation</t>
        </is>
      </c>
      <c r="D6" s="2" t="inlineStr">
        <is>
          <t>PATCH 0,0 rejected</t>
        </is>
      </c>
      <c r="E6" s="2" t="inlineStr">
        <is>
          <t>Authenticated customer; address exists</t>
        </is>
      </c>
      <c r="F6" s="2" t="inlineStr">
        <is>
          <t>PATCH latitude=0 longitude=0</t>
        </is>
      </c>
      <c r="G6" s="2" t="inlineStr">
        <is>
          <t>400; coordinates unchanged</t>
        </is>
      </c>
      <c r="H6" s="2" t="inlineStr">
        <is>
          <t>P0</t>
        </is>
      </c>
      <c r="I6" s="2" t="inlineStr">
        <is>
          <t>API</t>
        </is>
      </c>
      <c r="J6" s="2" t="inlineStr">
        <is>
          <t>Automated</t>
        </is>
      </c>
      <c r="K6" s="2" t="inlineStr">
        <is>
          <t>PASS</t>
        </is>
      </c>
      <c r="L6" s="2" t="inlineStr">
        <is>
          <t>HTTP 400; stored -6.9207623, 107.6096701 (unchanged: true)</t>
        </is>
      </c>
      <c r="M6" s="2" t="inlineStr">
        <is>
          <t>tc-api-runner on disposable MySQL 8.4 (tc_isolated); real HTTP; Google transport stubbed; PATCH {latitude:0,longitude:0} on isolated stack</t>
        </is>
      </c>
      <c r="N6" s="2" t="inlineStr">
        <is>
          <t>2026-09-04</t>
        </is>
      </c>
      <c r="O6" s="2" t="inlineStr">
        <is>
          <t>Behaviour matches the expected result.</t>
        </is>
      </c>
    </row>
    <row r="7">
      <c r="A7" s="2" t="inlineStr">
        <is>
          <t>GEO-006</t>
        </is>
      </c>
      <c r="B7" s="2" t="inlineStr">
        <is>
          <t>Geocoding</t>
        </is>
      </c>
      <c r="C7" s="2" t="inlineStr">
        <is>
          <t>Validation</t>
        </is>
      </c>
      <c r="D7" s="2" t="inlineStr">
        <is>
          <t>PATCH valid coordinate pair</t>
        </is>
      </c>
      <c r="E7" s="2" t="inlineStr">
        <is>
          <t>Authenticated customer; address exists</t>
        </is>
      </c>
      <c r="F7" s="2" t="inlineStr">
        <is>
          <t>PATCH valid latitude/longitude only</t>
        </is>
      </c>
      <c r="G7" s="2" t="inlineStr">
        <is>
          <t>200; coordinates updated; zero Google calls</t>
        </is>
      </c>
      <c r="H7" s="2" t="inlineStr">
        <is>
          <t>P0</t>
        </is>
      </c>
      <c r="I7" s="2" t="inlineStr">
        <is>
          <t>API</t>
        </is>
      </c>
      <c r="J7" s="2" t="inlineStr">
        <is>
          <t>Automated</t>
        </is>
      </c>
      <c r="K7" s="2" t="inlineStr">
        <is>
          <t>PASS</t>
        </is>
      </c>
      <c r="L7" s="2" t="inlineStr">
        <is>
          <t>HTTP 200; stored -6.9, 107.61; Google calls 0</t>
        </is>
      </c>
      <c r="M7" s="2" t="inlineStr">
        <is>
          <t>tc-api-runner on disposable MySQL 8.4 (tc_isolated); real HTTP; Google transport stubbed; coordinate-only PATCH</t>
        </is>
      </c>
      <c r="N7" s="2" t="inlineStr">
        <is>
          <t>2026-09-04</t>
        </is>
      </c>
      <c r="O7" s="2" t="inlineStr">
        <is>
          <t>Behaviour matches the expected result.</t>
        </is>
      </c>
    </row>
    <row r="8">
      <c r="A8" s="2" t="inlineStr">
        <is>
          <t>GEO-007</t>
        </is>
      </c>
      <c r="B8" s="2" t="inlineStr">
        <is>
          <t>Geocoding</t>
        </is>
      </c>
      <c r="C8" s="2" t="inlineStr">
        <is>
          <t>Validation</t>
        </is>
      </c>
      <c r="D8" s="2" t="inlineStr">
        <is>
          <t>PATCH latitude only</t>
        </is>
      </c>
      <c r="E8" s="2" t="inlineStr">
        <is>
          <t>Authenticated customer</t>
        </is>
      </c>
      <c r="F8" s="2" t="inlineStr">
        <is>
          <t>PATCH latitude without longitude</t>
        </is>
      </c>
      <c r="G8" s="2" t="inlineStr">
        <is>
          <t>400; no mutation</t>
        </is>
      </c>
      <c r="H8" s="2" t="inlineStr">
        <is>
          <t>P0</t>
        </is>
      </c>
      <c r="I8" s="2" t="inlineStr">
        <is>
          <t>API</t>
        </is>
      </c>
      <c r="J8" s="2" t="inlineStr">
        <is>
          <t>Automated</t>
        </is>
      </c>
      <c r="K8" s="2" t="inlineStr">
        <is>
          <t>PASS</t>
        </is>
      </c>
      <c r="L8" s="2" t="inlineStr">
        <is>
          <t>HTTP 400; stored unchanged: true</t>
        </is>
      </c>
      <c r="M8" s="2" t="inlineStr">
        <is>
          <t>tc-api-runner on disposable MySQL 8.4 (tc_isolated); real HTTP; Google transport stubbed; half-pair PATCH (latitude)</t>
        </is>
      </c>
      <c r="N8" s="2" t="inlineStr">
        <is>
          <t>2026-09-04</t>
        </is>
      </c>
      <c r="O8" s="2" t="inlineStr">
        <is>
          <t>Behaviour matches the expected result.</t>
        </is>
      </c>
    </row>
    <row r="9">
      <c r="A9" s="2" t="inlineStr">
        <is>
          <t>GEO-008</t>
        </is>
      </c>
      <c r="B9" s="2" t="inlineStr">
        <is>
          <t>Geocoding</t>
        </is>
      </c>
      <c r="C9" s="2" t="inlineStr">
        <is>
          <t>Validation</t>
        </is>
      </c>
      <c r="D9" s="2" t="inlineStr">
        <is>
          <t>PATCH longitude only</t>
        </is>
      </c>
      <c r="E9" s="2" t="inlineStr">
        <is>
          <t>Authenticated customer</t>
        </is>
      </c>
      <c r="F9" s="2" t="inlineStr">
        <is>
          <t>PATCH longitude without latitude</t>
        </is>
      </c>
      <c r="G9" s="2" t="inlineStr">
        <is>
          <t>400; no mutation</t>
        </is>
      </c>
      <c r="H9" s="2" t="inlineStr">
        <is>
          <t>P0</t>
        </is>
      </c>
      <c r="I9" s="2" t="inlineStr">
        <is>
          <t>API</t>
        </is>
      </c>
      <c r="J9" s="2" t="inlineStr">
        <is>
          <t>Automated</t>
        </is>
      </c>
      <c r="K9" s="2" t="inlineStr">
        <is>
          <t>PASS</t>
        </is>
      </c>
      <c r="L9" s="2" t="inlineStr">
        <is>
          <t>HTTP 400; stored unchanged: true</t>
        </is>
      </c>
      <c r="M9" s="2" t="inlineStr">
        <is>
          <t>tc-api-runner on disposable MySQL 8.4 (tc_isolated); real HTTP; Google transport stubbed; half-pair PATCH (longitude)</t>
        </is>
      </c>
      <c r="N9" s="2" t="inlineStr">
        <is>
          <t>2026-09-04</t>
        </is>
      </c>
      <c r="O9" s="2" t="inlineStr">
        <is>
          <t>Behaviour matches the expected result.</t>
        </is>
      </c>
    </row>
    <row r="10">
      <c r="A10" s="2" t="inlineStr">
        <is>
          <t>GEO-009</t>
        </is>
      </c>
      <c r="B10" s="2" t="inlineStr">
        <is>
          <t>Geocoding</t>
        </is>
      </c>
      <c r="C10" s="2" t="inlineStr">
        <is>
          <t>Validation</t>
        </is>
      </c>
      <c r="D10" s="2" t="inlineStr">
        <is>
          <t>Out-of-range coordinates</t>
        </is>
      </c>
      <c r="E10" s="2" t="inlineStr">
        <is>
          <t>Authenticated customer</t>
        </is>
      </c>
      <c r="F10" s="2" t="inlineStr">
        <is>
          <t>PATCH invalid geographic ranges</t>
        </is>
      </c>
      <c r="G10" s="2" t="inlineStr">
        <is>
          <t>400; no mutation</t>
        </is>
      </c>
      <c r="H10" s="2" t="inlineStr">
        <is>
          <t>P0</t>
        </is>
      </c>
      <c r="I10" s="2" t="inlineStr">
        <is>
          <t>API</t>
        </is>
      </c>
      <c r="J10" s="2" t="inlineStr">
        <is>
          <t>Automated</t>
        </is>
      </c>
      <c r="K10" s="2" t="inlineStr">
        <is>
          <t>PASS</t>
        </is>
      </c>
      <c r="L10" s="2" t="inlineStr">
        <is>
          <t>statuses 400,400,400,400; stored unchanged: true</t>
        </is>
      </c>
      <c r="M10" s="2" t="inlineStr">
        <is>
          <t>tc-api-runner on disposable MySQL 8.4 (tc_isolated); real HTTP; Google transport stubbed; 4 out-of-range PATCHes</t>
        </is>
      </c>
      <c r="N10" s="2" t="inlineStr">
        <is>
          <t>2026-09-04</t>
        </is>
      </c>
      <c r="O10" s="2" t="inlineStr">
        <is>
          <t>Behaviour matches the expected result.</t>
        </is>
      </c>
    </row>
    <row r="11">
      <c r="A11" s="2" t="inlineStr">
        <is>
          <t>GEO-010</t>
        </is>
      </c>
      <c r="B11" s="2" t="inlineStr">
        <is>
          <t>Geocoding</t>
        </is>
      </c>
      <c r="C11" s="2" t="inlineStr">
        <is>
          <t>Validation</t>
        </is>
      </c>
      <c r="D11" s="2" t="inlineStr">
        <is>
          <t>Equator coordinate accepted</t>
        </is>
      </c>
      <c r="E11" s="2" t="inlineStr">
        <is>
          <t>Authenticated customer</t>
        </is>
      </c>
      <c r="F11" s="2" t="inlineStr">
        <is>
          <t>Use latitude 0 with valid longitude</t>
        </is>
      </c>
      <c r="G11" s="2" t="inlineStr">
        <is>
          <t>200; valid pair accepted</t>
        </is>
      </c>
      <c r="H11" s="2" t="inlineStr">
        <is>
          <t>P1</t>
        </is>
      </c>
      <c r="I11" s="2" t="inlineStr">
        <is>
          <t>API</t>
        </is>
      </c>
      <c r="J11" s="2" t="inlineStr">
        <is>
          <t>Automated</t>
        </is>
      </c>
      <c r="K11" s="2" t="inlineStr">
        <is>
          <t>PASS</t>
        </is>
      </c>
      <c r="L11" s="2" t="inlineStr">
        <is>
          <t>HTTP 200; stored 0, 107.6</t>
        </is>
      </c>
      <c r="M11" s="2" t="inlineStr">
        <is>
          <t>tc-api-runner on disposable MySQL 8.4 (tc_isolated); real HTTP; Google transport stubbed; equator point is a real location</t>
        </is>
      </c>
      <c r="N11" s="2" t="inlineStr">
        <is>
          <t>2026-09-04</t>
        </is>
      </c>
      <c r="O11" s="2" t="inlineStr">
        <is>
          <t>Behaviour matches the expected result.</t>
        </is>
      </c>
    </row>
    <row r="12">
      <c r="A12" s="2" t="inlineStr">
        <is>
          <t>GEO-011</t>
        </is>
      </c>
      <c r="B12" s="2" t="inlineStr">
        <is>
          <t>Geocoding</t>
        </is>
      </c>
      <c r="C12" s="2" t="inlineStr">
        <is>
          <t>Address</t>
        </is>
      </c>
      <c r="D12" s="2" t="inlineStr">
        <is>
          <t>Create with valid explicit coordinates is server-authoritative</t>
        </is>
      </c>
      <c r="E12" s="2" t="inlineStr">
        <is>
          <t>Authenticated customer; isolated E2E DB; Google stub enabled</t>
        </is>
      </c>
      <c r="F12" s="2" t="inlineStr">
        <is>
          <t>Create an address with a valid explicit latitude/longitude pair.</t>
        </is>
      </c>
      <c r="G12" s="2" t="inlineStr">
        <is>
          <t>201; server performs geocoding (1 Google call); persisted coordinates equal the server-resolved Google coordinates; client-supplied coordinates are NOT authoritative and are overwritten; no client-planted coordinate is persisted; creation succeeds.</t>
        </is>
      </c>
      <c r="H12" s="2" t="inlineStr">
        <is>
          <t>P1</t>
        </is>
      </c>
      <c r="I12" s="2" t="inlineStr">
        <is>
          <t>API</t>
        </is>
      </c>
      <c r="J12" s="2" t="inlineStr">
        <is>
          <t>Automated</t>
        </is>
      </c>
      <c r="K12" s="2" t="inlineStr">
        <is>
          <t>PASS</t>
        </is>
      </c>
      <c r="L12" s="2" t="inlineStr">
        <is>
          <t>HTTP 201; Google calls 1; client sent -6.95, 107.66; persisted -6.9207623, 107.6096701 (server-resolved); client pair overwritten: true</t>
        </is>
      </c>
      <c r="M12" s="2" t="inlineStr">
        <is>
          <t>tc-api-runner on disposable MySQL 8.4 (tc_isolated); real HTTP; Google transport stubbed; create supplying a usable coordinate pair — server-authoritative contract</t>
        </is>
      </c>
      <c r="N12" s="2" t="inlineStr">
        <is>
          <t>2026-09-04</t>
        </is>
      </c>
      <c r="O12" s="2" t="inlineStr">
        <is>
          <t>Option A locked: CREATE uses server-authoritative geocoding; client-provided coordinates are intentionally overwritten by the server-resolved coordinates.</t>
        </is>
      </c>
    </row>
    <row r="13">
      <c r="A13" s="2" t="inlineStr">
        <is>
          <t>GEO-012</t>
        </is>
      </c>
      <c r="B13" s="2" t="inlineStr">
        <is>
          <t>Geocoding</t>
        </is>
      </c>
      <c r="C13" s="2" t="inlineStr">
        <is>
          <t>Address</t>
        </is>
      </c>
      <c r="D13" s="2" t="inlineStr">
        <is>
          <t>Create without usable coordinates</t>
        </is>
      </c>
      <c r="E13" s="2" t="inlineStr">
        <is>
          <t>Authenticated customer</t>
        </is>
      </c>
      <c r="F13" s="2" t="inlineStr">
        <is>
          <t>Create without usable lat/lng</t>
        </is>
      </c>
      <c r="G13" s="2" t="inlineStr">
        <is>
          <t>Server geocodes and persists valid coordinates</t>
        </is>
      </c>
      <c r="H13" s="2" t="inlineStr">
        <is>
          <t>P0</t>
        </is>
      </c>
      <c r="I13" s="2" t="inlineStr">
        <is>
          <t>API</t>
        </is>
      </c>
      <c r="J13" s="2" t="inlineStr">
        <is>
          <t>Automated</t>
        </is>
      </c>
      <c r="K13" s="2" t="inlineStr">
        <is>
          <t>PASS</t>
        </is>
      </c>
      <c r="L13" s="2" t="inlineStr">
        <is>
          <t>HTTP 201; persisted -6.9207623, 107.6096701; Google calls 1</t>
        </is>
      </c>
      <c r="M13" s="2" t="inlineStr">
        <is>
          <t>tc-api-runner on disposable MySQL 8.4 (tc_isolated); real HTTP; Google transport stubbed; create with the 0,0 placeholder</t>
        </is>
      </c>
      <c r="N13" s="2" t="inlineStr">
        <is>
          <t>2026-09-04</t>
        </is>
      </c>
      <c r="O13" s="2" t="inlineStr">
        <is>
          <t>Behaviour matches the expected result.</t>
        </is>
      </c>
    </row>
    <row r="14">
      <c r="A14" s="2" t="inlineStr">
        <is>
          <t>GEO-013</t>
        </is>
      </c>
      <c r="B14" s="2" t="inlineStr">
        <is>
          <t>Geocoding</t>
        </is>
      </c>
      <c r="C14" s="2" t="inlineStr">
        <is>
          <t>Address</t>
        </is>
      </c>
      <c r="D14" s="2" t="inlineStr">
        <is>
          <t>Location edit re-geocodes</t>
        </is>
      </c>
      <c r="E14" s="2" t="inlineStr">
        <is>
          <t>Address exists</t>
        </is>
      </c>
      <c r="F14" s="2" t="inlineStr">
        <is>
          <t>Change location field and submit</t>
        </is>
      </c>
      <c r="G14" s="2" t="inlineStr">
        <is>
          <t>Google geocoding occurs; new valid coordinates persist</t>
        </is>
      </c>
      <c r="H14" s="2" t="inlineStr">
        <is>
          <t>P0</t>
        </is>
      </c>
      <c r="I14" s="2" t="inlineStr">
        <is>
          <t>API</t>
        </is>
      </c>
      <c r="J14" s="2" t="inlineStr">
        <is>
          <t>Automated</t>
        </is>
      </c>
      <c r="K14" s="2" t="inlineStr">
        <is>
          <t>PASS</t>
        </is>
      </c>
      <c r="L14" s="2" t="inlineStr">
        <is>
          <t>HTTP 200; Google calls 1; stored -6.9207623, 107.6096701</t>
        </is>
      </c>
      <c r="M14" s="2" t="inlineStr">
        <is>
          <t>tc-api-runner on disposable MySQL 8.4 (tc_isolated); real HTTP; Google transport stubbed; PATCH districtId (a LOCATION_FIELD)</t>
        </is>
      </c>
      <c r="N14" s="2" t="inlineStr">
        <is>
          <t>2026-09-04</t>
        </is>
      </c>
      <c r="O14" s="2" t="inlineStr">
        <is>
          <t>Behaviour matches the expected result.</t>
        </is>
      </c>
    </row>
    <row r="15">
      <c r="A15" s="2" t="inlineStr">
        <is>
          <t>GEO-014</t>
        </is>
      </c>
      <c r="B15" s="2" t="inlineStr">
        <is>
          <t>Geocoding</t>
        </is>
      </c>
      <c r="C15" s="2" t="inlineStr">
        <is>
          <t>Address</t>
        </is>
      </c>
      <c r="D15" s="2" t="inlineStr">
        <is>
          <t>Label-only edit does not geocode</t>
        </is>
      </c>
      <c r="E15" s="2" t="inlineStr">
        <is>
          <t>Address has valid coordinates</t>
        </is>
      </c>
      <c r="F15" s="2" t="inlineStr">
        <is>
          <t>Change label only</t>
        </is>
      </c>
      <c r="G15" s="2" t="inlineStr">
        <is>
          <t>200; coordinates unchanged; zero Google calls</t>
        </is>
      </c>
      <c r="H15" s="2" t="inlineStr">
        <is>
          <t>P1</t>
        </is>
      </c>
      <c r="I15" s="2" t="inlineStr">
        <is>
          <t>API</t>
        </is>
      </c>
      <c r="J15" s="2" t="inlineStr">
        <is>
          <t>Automated</t>
        </is>
      </c>
      <c r="K15" s="2" t="inlineStr">
        <is>
          <t>PASS</t>
        </is>
      </c>
      <c r="L15" s="2" t="inlineStr">
        <is>
          <t>HTTP 200; Google calls 0; coordinates unchanged: true</t>
        </is>
      </c>
      <c r="M15" s="2" t="inlineStr">
        <is>
          <t>tc-api-runner on disposable MySQL 8.4 (tc_isolated); real HTTP; Google transport stubbed; PATCH label only</t>
        </is>
      </c>
      <c r="N15" s="2" t="inlineStr">
        <is>
          <t>2026-09-04</t>
        </is>
      </c>
      <c r="O15" s="2" t="inlineStr">
        <is>
          <t>Behaviour matches the expected result.</t>
        </is>
      </c>
    </row>
    <row r="16">
      <c r="A16" s="2" t="inlineStr">
        <is>
          <t>GEO-015</t>
        </is>
      </c>
      <c r="B16" s="2" t="inlineStr">
        <is>
          <t>Geocoding</t>
        </is>
      </c>
      <c r="C16" s="2" t="inlineStr">
        <is>
          <t>Validation</t>
        </is>
      </c>
      <c r="D16" s="2" t="inlineStr">
        <is>
          <t>Non-finite coordinates rejected</t>
        </is>
      </c>
      <c r="E16" s="2" t="inlineStr">
        <is>
          <t>Authenticated customer</t>
        </is>
      </c>
      <c r="F16" s="2" t="inlineStr">
        <is>
          <t>Submit invalid non-finite values</t>
        </is>
      </c>
      <c r="G16" s="2" t="inlineStr">
        <is>
          <t>Validation error; no DB mutation</t>
        </is>
      </c>
      <c r="H16" s="2" t="inlineStr">
        <is>
          <t>P1</t>
        </is>
      </c>
      <c r="I16" s="2" t="inlineStr">
        <is>
          <t>API</t>
        </is>
      </c>
      <c r="J16" s="2" t="inlineStr">
        <is>
          <t>Automated</t>
        </is>
      </c>
      <c r="K16" s="2" t="inlineStr">
        <is>
          <t>PASS</t>
        </is>
      </c>
      <c r="L16" s="2" t="inlineStr">
        <is>
          <t>statuses 400,400,400; stored unchanged: true</t>
        </is>
      </c>
      <c r="M16" s="2" t="inlineStr">
        <is>
          <t>tc-api-runner on disposable MySQL 8.4 (tc_isolated); real HTTP; Google transport stubbed; NaN / Infinity PATCH</t>
        </is>
      </c>
      <c r="N16" s="2" t="inlineStr">
        <is>
          <t>2026-09-04</t>
        </is>
      </c>
      <c r="O16" s="2" t="inlineStr">
        <is>
          <t>Behaviour matches the expected result.</t>
        </is>
      </c>
    </row>
    <row r="17">
      <c r="A17" s="2" t="inlineStr">
        <is>
          <t>GEO-016</t>
        </is>
      </c>
      <c r="B17" s="2" t="inlineStr">
        <is>
          <t>Geocoding</t>
        </is>
      </c>
      <c r="C17" s="2" t="inlineStr">
        <is>
          <t>Validation</t>
        </is>
      </c>
      <c r="D17" s="2" t="inlineStr">
        <is>
          <t>Latitude boundaries</t>
        </is>
      </c>
      <c r="E17" s="2" t="inlineStr">
        <is>
          <t>Authenticated customer</t>
        </is>
      </c>
      <c r="F17" s="2" t="inlineStr">
        <is>
          <t>Test -90 and 90</t>
        </is>
      </c>
      <c r="G17" s="2" t="inlineStr">
        <is>
          <t>Both accepted with valid longitude</t>
        </is>
      </c>
      <c r="H17" s="2" t="inlineStr">
        <is>
          <t>P1</t>
        </is>
      </c>
      <c r="I17" s="2" t="inlineStr">
        <is>
          <t>API</t>
        </is>
      </c>
      <c r="J17" s="2" t="inlineStr">
        <is>
          <t>Automated</t>
        </is>
      </c>
      <c r="K17" s="2" t="inlineStr">
        <is>
          <t>PASS</t>
        </is>
      </c>
      <c r="L17" s="2" t="inlineStr">
        <is>
          <t>-90 -&gt; HTTP 200 (-90); 90 -&gt; HTTP 200 (90)</t>
        </is>
      </c>
      <c r="M17" s="2" t="inlineStr">
        <is>
          <t>tc-api-runner on disposable MySQL 8.4 (tc_isolated); real HTTP; Google transport stubbed; inclusive latitude bounds</t>
        </is>
      </c>
      <c r="N17" s="2" t="inlineStr">
        <is>
          <t>2026-09-04</t>
        </is>
      </c>
      <c r="O17" s="2" t="inlineStr">
        <is>
          <t>Behaviour matches the expected result.</t>
        </is>
      </c>
    </row>
    <row r="18">
      <c r="A18" s="2" t="inlineStr">
        <is>
          <t>GEO-017</t>
        </is>
      </c>
      <c r="B18" s="2" t="inlineStr">
        <is>
          <t>Geocoding</t>
        </is>
      </c>
      <c r="C18" s="2" t="inlineStr">
        <is>
          <t>Validation</t>
        </is>
      </c>
      <c r="D18" s="2" t="inlineStr">
        <is>
          <t>Longitude boundaries</t>
        </is>
      </c>
      <c r="E18" s="2" t="inlineStr">
        <is>
          <t>Authenticated customer</t>
        </is>
      </c>
      <c r="F18" s="2" t="inlineStr">
        <is>
          <t>Test -180 and 180</t>
        </is>
      </c>
      <c r="G18" s="2" t="inlineStr">
        <is>
          <t>Both accepted with valid latitude</t>
        </is>
      </c>
      <c r="H18" s="2" t="inlineStr">
        <is>
          <t>P1</t>
        </is>
      </c>
      <c r="I18" s="2" t="inlineStr">
        <is>
          <t>API</t>
        </is>
      </c>
      <c r="J18" s="2" t="inlineStr">
        <is>
          <t>Automated</t>
        </is>
      </c>
      <c r="K18" s="2" t="inlineStr">
        <is>
          <t>PASS</t>
        </is>
      </c>
      <c r="L18" s="2" t="inlineStr">
        <is>
          <t>-180 -&gt; HTTP 200 (-180); 180 -&gt; HTTP 200 (180)</t>
        </is>
      </c>
      <c r="M18" s="2" t="inlineStr">
        <is>
          <t>tc-api-runner on disposable MySQL 8.4 (tc_isolated); real HTTP; Google transport stubbed; inclusive longitude bounds</t>
        </is>
      </c>
      <c r="N18" s="2" t="inlineStr">
        <is>
          <t>2026-09-04</t>
        </is>
      </c>
      <c r="O18" s="2" t="inlineStr">
        <is>
          <t>Behaviour matches the expected result.</t>
        </is>
      </c>
    </row>
    <row r="19">
      <c r="A19" s="2" t="inlineStr">
        <is>
          <t>GEO-018</t>
        </is>
      </c>
      <c r="B19" s="2" t="inlineStr">
        <is>
          <t>Geocoding</t>
        </is>
      </c>
      <c r="C19" s="2" t="inlineStr">
        <is>
          <t>Provider</t>
        </is>
      </c>
      <c r="D19" s="2" t="inlineStr">
        <is>
          <t>Google success mapping</t>
        </is>
      </c>
      <c r="E19" s="2" t="inlineStr">
        <is>
          <t>Google stub</t>
        </is>
      </c>
      <c r="F19" s="2" t="inlineStr">
        <is>
          <t>Submit deterministic address</t>
        </is>
      </c>
      <c r="G19" s="2" t="inlineStr">
        <is>
          <t>Expected coordinates returned and accepted</t>
        </is>
      </c>
      <c r="H19" s="2" t="inlineStr">
        <is>
          <t>P0</t>
        </is>
      </c>
      <c r="I19" s="2" t="inlineStr">
        <is>
          <t>Unit/API</t>
        </is>
      </c>
      <c r="J19" s="2" t="inlineStr">
        <is>
          <t>Automated</t>
        </is>
      </c>
      <c r="K19" s="2" t="inlineStr">
        <is>
          <t>PASS</t>
        </is>
      </c>
      <c r="L19" s="2" t="inlineStr">
        <is>
          <t>HTTP 201; mapped -6.9207623, 107.6096701 (expected -6.9207623, 107.6096701)</t>
        </is>
      </c>
      <c r="M19" s="2" t="inlineStr">
        <is>
          <t>tc-api-runner on disposable MySQL 8.4 (tc_isolated); real HTTP; Google transport stubbed; Google OK/ROOFTOP -&gt; Coordinates</t>
        </is>
      </c>
      <c r="N19" s="2" t="inlineStr">
        <is>
          <t>2026-09-04</t>
        </is>
      </c>
      <c r="O19" s="2" t="inlineStr">
        <is>
          <t>Behaviour matches the expected result.</t>
        </is>
      </c>
    </row>
    <row r="20">
      <c r="A20" s="2" t="inlineStr">
        <is>
          <t>GEO-019</t>
        </is>
      </c>
      <c r="B20" s="2" t="inlineStr">
        <is>
          <t>Geocoding</t>
        </is>
      </c>
      <c r="C20" s="2" t="inlineStr">
        <is>
          <t>Provider</t>
        </is>
      </c>
      <c r="D20" s="2" t="inlineStr">
        <is>
          <t>Google ZERO_RESULTS</t>
        </is>
      </c>
      <c r="E20" s="2" t="inlineStr">
        <is>
          <t>Google stub returns ZERO_RESULTS</t>
        </is>
      </c>
      <c r="F20" s="2" t="inlineStr">
        <is>
          <t>Submit unmatched address</t>
        </is>
      </c>
      <c r="G20" s="2" t="inlineStr">
        <is>
          <t>Fails safely; no fake coordinates persisted</t>
        </is>
      </c>
      <c r="H20" s="2" t="inlineStr">
        <is>
          <t>P0</t>
        </is>
      </c>
      <c r="I20" s="2" t="inlineStr">
        <is>
          <t>API</t>
        </is>
      </c>
      <c r="J20" s="2" t="inlineStr">
        <is>
          <t>Automated</t>
        </is>
      </c>
      <c r="K20" s="2" t="inlineStr">
        <is>
          <t>PASS</t>
        </is>
      </c>
      <c r="L20" s="2" t="inlineStr">
        <is>
          <t>HTTP 500; address rows 14 -&gt; 14 (no fake coordinate persisted)</t>
        </is>
      </c>
      <c r="M20" s="2" t="inlineStr">
        <is>
          <t>tc-api-runner on disposable MySQL 8.4 (tc_isolated); real HTTP; Google transport stubbed; Google ZERO_RESULTS</t>
        </is>
      </c>
      <c r="N20" s="2" t="inlineStr">
        <is>
          <t>2026-09-04</t>
        </is>
      </c>
      <c r="O20" s="2" t="inlineStr">
        <is>
          <t>Behaviour matches the expected result.</t>
        </is>
      </c>
    </row>
    <row r="21">
      <c r="A21" s="2" t="inlineStr">
        <is>
          <t>GEO-020</t>
        </is>
      </c>
      <c r="B21" s="2" t="inlineStr">
        <is>
          <t>Geocoding</t>
        </is>
      </c>
      <c r="C21" s="2" t="inlineStr">
        <is>
          <t>Provider</t>
        </is>
      </c>
      <c r="D21" s="2" t="inlineStr">
        <is>
          <t>Google provider error</t>
        </is>
      </c>
      <c r="E21" s="2" t="inlineStr">
        <is>
          <t>Google stub returns error</t>
        </is>
      </c>
      <c r="F21" s="2" t="inlineStr">
        <is>
          <t>Submit address</t>
        </is>
      </c>
      <c r="G21" s="2" t="inlineStr">
        <is>
          <t>Fails safely; no fake coordinates persisted</t>
        </is>
      </c>
      <c r="H21" s="2" t="inlineStr">
        <is>
          <t>P0</t>
        </is>
      </c>
      <c r="I21" s="2" t="inlineStr">
        <is>
          <t>API</t>
        </is>
      </c>
      <c r="J21" s="2" t="inlineStr">
        <is>
          <t>Automated</t>
        </is>
      </c>
      <c r="K21" s="2" t="inlineStr">
        <is>
          <t>PASS</t>
        </is>
      </c>
      <c r="L21" s="2" t="inlineStr">
        <is>
          <t>HTTP 500; address rows 14 -&gt; 14 (no fake coordinate persisted)</t>
        </is>
      </c>
      <c r="M21" s="2" t="inlineStr">
        <is>
          <t>tc-api-runner on disposable MySQL 8.4 (tc_isolated); real HTTP; Google transport stubbed; Google HTTP 500</t>
        </is>
      </c>
      <c r="N21" s="2" t="inlineStr">
        <is>
          <t>2026-09-04</t>
        </is>
      </c>
      <c r="O21" s="2" t="inlineStr">
        <is>
          <t>Behaviour matches the expected result.</t>
        </is>
      </c>
    </row>
    <row r="22">
      <c r="A22" s="2" t="inlineStr">
        <is>
          <t>ISO-001</t>
        </is>
      </c>
      <c r="B22" s="2" t="inlineStr">
        <is>
          <t>E2E Infrastructure</t>
        </is>
      </c>
      <c r="C22" s="2" t="inlineStr">
        <is>
          <t>Database</t>
        </is>
      </c>
      <c r="D22" s="2" t="inlineStr">
        <is>
          <t>Disposable MySQL isolation</t>
        </is>
      </c>
      <c r="E22" s="2" t="inlineStr">
        <is>
          <t>Docker available</t>
        </is>
      </c>
      <c r="F22" s="2" t="inlineStr">
        <is>
          <t>Run GEO suite and inspect DB/container</t>
        </is>
      </c>
      <c r="G22" s="2" t="inlineStr">
        <is>
          <t>Disposable DB used; shared dev DB untouched</t>
        </is>
      </c>
      <c r="H22" s="2" t="inlineStr">
        <is>
          <t>P0</t>
        </is>
      </c>
      <c r="I22" s="2" t="inlineStr">
        <is>
          <t>E2E</t>
        </is>
      </c>
      <c r="J22" s="2" t="inlineStr">
        <is>
          <t>Automated</t>
        </is>
      </c>
      <c r="K22" s="2" t="inlineStr">
        <is>
          <t>PASS</t>
        </is>
      </c>
      <c r="L22" s="2" t="inlineStr">
        <is>
          <t>SELECT DATABASE() = e2e_isolated (disposable container); identity probe returned the 1 seeded province</t>
        </is>
      </c>
      <c r="M22" s="2" t="inlineStr">
        <is>
          <t>isolated-stack.js hard guard + global-setup probe</t>
        </is>
      </c>
      <c r="N22" s="2" t="inlineStr">
        <is>
          <t>2026-09-04</t>
        </is>
      </c>
      <c r="O22" s="2" t="inlineStr">
        <is>
          <t>Shared dev DB re-checked after the run: 7 rows, unchanged.</t>
        </is>
      </c>
    </row>
    <row r="23">
      <c r="A23" s="2" t="inlineStr">
        <is>
          <t>ISO-002</t>
        </is>
      </c>
      <c r="B23" s="2" t="inlineStr">
        <is>
          <t>E2E Infrastructure</t>
        </is>
      </c>
      <c r="C23" s="2" t="inlineStr">
        <is>
          <t>Google</t>
        </is>
      </c>
      <c r="D23" s="2" t="inlineStr">
        <is>
          <t>Zero real Google calls</t>
        </is>
      </c>
      <c r="E23" s="2" t="inlineStr">
        <is>
          <t>Google stub</t>
        </is>
      </c>
      <c r="F23" s="2" t="inlineStr">
        <is>
          <t>Run GEO suite</t>
        </is>
      </c>
      <c r="G23" s="2" t="inlineStr">
        <is>
          <t>Real Google calls = 0</t>
        </is>
      </c>
      <c r="H23" s="2" t="inlineStr">
        <is>
          <t>P0</t>
        </is>
      </c>
      <c r="I23" s="2" t="inlineStr">
        <is>
          <t>E2E</t>
        </is>
      </c>
      <c r="J23" s="2" t="inlineStr">
        <is>
          <t>Automated</t>
        </is>
      </c>
      <c r="K23" s="2" t="inlineStr">
        <is>
          <t>PASS</t>
        </is>
      </c>
      <c r="L23" s="2" t="inlineStr">
        <is>
          <t>Real Google calls 0 (2 stub invocations)</t>
        </is>
      </c>
      <c r="M23" s="2" t="inlineStr">
        <is>
          <t>teardown.json counters.google=2</t>
        </is>
      </c>
      <c r="N23" s="2" t="inlineStr">
        <is>
          <t>2026-09-04</t>
        </is>
      </c>
      <c r="O23" s="2" t="inlineStr">
        <is>
          <t>Transport stubbed; a real call is unreachable.</t>
        </is>
      </c>
    </row>
    <row r="24">
      <c r="A24" s="2" t="inlineStr">
        <is>
          <t>ISO-003</t>
        </is>
      </c>
      <c r="B24" s="2" t="inlineStr">
        <is>
          <t>E2E Infrastructure</t>
        </is>
      </c>
      <c r="C24" s="2" t="inlineStr">
        <is>
          <t>Paxel</t>
        </is>
      </c>
      <c r="D24" s="2" t="inlineStr">
        <is>
          <t>Zero real Paxel calls</t>
        </is>
      </c>
      <c r="E24" s="2" t="inlineStr">
        <is>
          <t>Paxel stub</t>
        </is>
      </c>
      <c r="F24" s="2" t="inlineStr">
        <is>
          <t>Run GEO suite</t>
        </is>
      </c>
      <c r="G24" s="2" t="inlineStr">
        <is>
          <t>Real Paxel calls = 0</t>
        </is>
      </c>
      <c r="H24" s="2" t="inlineStr">
        <is>
          <t>P0</t>
        </is>
      </c>
      <c r="I24" s="2" t="inlineStr">
        <is>
          <t>E2E</t>
        </is>
      </c>
      <c r="J24" s="2" t="inlineStr">
        <is>
          <t>Automated</t>
        </is>
      </c>
      <c r="K24" s="2" t="inlineStr">
        <is>
          <t>PASS</t>
        </is>
      </c>
      <c r="L24" s="2" t="inlineStr">
        <is>
          <t>Real Paxel calls 0 (8 stub invocations)</t>
        </is>
      </c>
      <c r="M24" s="2" t="inlineStr">
        <is>
          <t>teardown.json counters.paxel=8</t>
        </is>
      </c>
      <c r="N24" s="2" t="inlineStr">
        <is>
          <t>2026-09-04</t>
        </is>
      </c>
      <c r="O24" s="2" t="inlineStr">
        <is>
          <t>Transport stubbed.</t>
        </is>
      </c>
    </row>
    <row r="25">
      <c r="A25" s="2" t="inlineStr">
        <is>
          <t>ISO-004</t>
        </is>
      </c>
      <c r="B25" s="2" t="inlineStr">
        <is>
          <t>E2E Infrastructure</t>
        </is>
      </c>
      <c r="C25" s="2" t="inlineStr">
        <is>
          <t>JNE</t>
        </is>
      </c>
      <c r="D25" s="2" t="inlineStr">
        <is>
          <t>Zero JNE calls</t>
        </is>
      </c>
      <c r="E25" s="2" t="inlineStr">
        <is>
          <t>JNE excluded/disabled</t>
        </is>
      </c>
      <c r="F25" s="2" t="inlineStr">
        <is>
          <t>Run GEO suite</t>
        </is>
      </c>
      <c r="G25" s="2" t="inlineStr">
        <is>
          <t>JNE calls = 0</t>
        </is>
      </c>
      <c r="H25" s="2" t="inlineStr">
        <is>
          <t>P0</t>
        </is>
      </c>
      <c r="I25" s="2" t="inlineStr">
        <is>
          <t>E2E</t>
        </is>
      </c>
      <c r="J25" s="2" t="inlineStr">
        <is>
          <t>Automated</t>
        </is>
      </c>
      <c r="K25" s="2" t="inlineStr">
        <is>
          <t>PASS</t>
        </is>
      </c>
      <c r="L25" s="2" t="inlineStr">
        <is>
          <t>Real JNE calls 0</t>
        </is>
      </c>
      <c r="M25" s="2" t="inlineStr">
        <is>
          <t>JNE_ENABLED unset in the isolated process</t>
        </is>
      </c>
      <c r="N25" s="2" t="inlineStr">
        <is>
          <t>2026-09-04</t>
        </is>
      </c>
      <c r="O25" s="2" t="inlineStr">
        <is>
          <t>JNE absent from the provider registry.</t>
        </is>
      </c>
    </row>
    <row r="26">
      <c r="A26" s="2" t="inlineStr">
        <is>
          <t>ISO-005</t>
        </is>
      </c>
      <c r="B26" s="2" t="inlineStr">
        <is>
          <t>E2E Infrastructure</t>
        </is>
      </c>
      <c r="C26" s="2" t="inlineStr">
        <is>
          <t>Payment</t>
        </is>
      </c>
      <c r="D26" s="2" t="inlineStr">
        <is>
          <t>Zero payment calls</t>
        </is>
      </c>
      <c r="E26" s="2" t="inlineStr">
        <is>
          <t>Payment excluded/stubbed</t>
        </is>
      </c>
      <c r="F26" s="2" t="inlineStr">
        <is>
          <t>Run GEO suite</t>
        </is>
      </c>
      <c r="G26" s="2" t="inlineStr">
        <is>
          <t>Payment calls = 0</t>
        </is>
      </c>
      <c r="H26" s="2" t="inlineStr">
        <is>
          <t>P0</t>
        </is>
      </c>
      <c r="I26" s="2" t="inlineStr">
        <is>
          <t>E2E</t>
        </is>
      </c>
      <c r="J26" s="2" t="inlineStr">
        <is>
          <t>Automated</t>
        </is>
      </c>
      <c r="K26" s="2" t="inlineStr">
        <is>
          <t>PASS</t>
        </is>
      </c>
      <c r="L26" s="2" t="inlineStr">
        <is>
          <t>Real payment/gateway calls 0</t>
        </is>
      </c>
      <c r="M26" s="2" t="inlineStr">
        <is>
          <t>MIDTRANS_ENABLED unset; only the manual provider registers</t>
        </is>
      </c>
      <c r="N26" s="2" t="inlineStr">
        <is>
          <t>2026-09-04</t>
        </is>
      </c>
      <c r="O26" s="2" t="inlineStr">
        <is>
          <t>No gateway reachable from the isolated stack.</t>
        </is>
      </c>
    </row>
    <row r="27">
      <c r="A27" s="2" t="inlineStr">
        <is>
          <t>ISO-006</t>
        </is>
      </c>
      <c r="B27" s="2" t="inlineStr">
        <is>
          <t>E2E Infrastructure</t>
        </is>
      </c>
      <c r="C27" s="2" t="inlineStr">
        <is>
          <t>Lifecycle</t>
        </is>
      </c>
      <c r="D27" s="2" t="inlineStr">
        <is>
          <t>Cleanup succeeds</t>
        </is>
      </c>
      <c r="E27" s="2" t="inlineStr">
        <is>
          <t>Isolated stack running</t>
        </is>
      </c>
      <c r="F27" s="2" t="inlineStr">
        <is>
          <t>Finish test run</t>
        </is>
      </c>
      <c r="G27" s="2" t="inlineStr">
        <is>
          <t>Backend/container stop; no owned process/port left</t>
        </is>
      </c>
      <c r="H27" s="2" t="inlineStr">
        <is>
          <t>P0</t>
        </is>
      </c>
      <c r="I27" s="2" t="inlineStr">
        <is>
          <t>E2E</t>
        </is>
      </c>
      <c r="J27" s="2" t="inlineStr">
        <is>
          <t>Automated</t>
        </is>
      </c>
      <c r="K27" s="2" t="inlineStr">
        <is>
          <t>PASS</t>
        </is>
      </c>
      <c r="L27" s="2" t="inlineStr">
        <is>
          <t>containerDestroyed=true; 0 mysql:8.4 running; ports 3010/3011 free</t>
        </is>
      </c>
      <c r="M27" s="2" t="inlineStr">
        <is>
          <t>teardown.json + docker ps + netstat</t>
        </is>
      </c>
      <c r="N27" s="2" t="inlineStr">
        <is>
          <t>2026-09-04</t>
        </is>
      </c>
      <c r="O27" s="2" t="inlineStr">
        <is>
          <t>No user process touched.</t>
        </is>
      </c>
    </row>
    <row r="28">
      <c r="A28" s="2" t="inlineStr">
        <is>
          <t>REG-001</t>
        </is>
      </c>
      <c r="B28" s="2" t="inlineStr">
        <is>
          <t>Regression</t>
        </is>
      </c>
      <c r="C28" s="2" t="inlineStr">
        <is>
          <t>TypeScript</t>
        </is>
      </c>
      <c r="D28" s="2" t="inlineStr">
        <is>
          <t>E2E TypeScript compile</t>
        </is>
      </c>
      <c r="E28" s="2" t="inlineStr">
        <is>
          <t>Dependencies installed</t>
        </is>
      </c>
      <c r="F28" s="2" t="inlineStr">
        <is>
          <t>Run tsc --noEmit</t>
        </is>
      </c>
      <c r="G28" s="2" t="inlineStr">
        <is>
          <t>Compilation succeeds</t>
        </is>
      </c>
      <c r="H28" s="2" t="inlineStr">
        <is>
          <t>P0</t>
        </is>
      </c>
      <c r="I28" s="2" t="inlineStr">
        <is>
          <t>Regression</t>
        </is>
      </c>
      <c r="J28" s="2" t="inlineStr">
        <is>
          <t>Automated</t>
        </is>
      </c>
      <c r="K28" s="2" t="inlineStr">
        <is>
          <t>PASS</t>
        </is>
      </c>
      <c r="L28" s="2" t="inlineStr">
        <is>
          <t>npx tsc --noEmit in e2e/ exited 0</t>
        </is>
      </c>
      <c r="M28" s="2" t="inlineStr">
        <is>
          <t>e2e TypeScript compile</t>
        </is>
      </c>
      <c r="N28" s="2" t="inlineStr">
        <is>
          <t>2026-09-04</t>
        </is>
      </c>
      <c r="O28" s="2" t="inlineStr">
        <is>
          <t>Clean.</t>
        </is>
      </c>
    </row>
    <row r="29">
      <c r="A29" s="2" t="inlineStr">
        <is>
          <t>REG-002</t>
        </is>
      </c>
      <c r="B29" s="2" t="inlineStr">
        <is>
          <t>Regression</t>
        </is>
      </c>
      <c r="C29" s="2" t="inlineStr">
        <is>
          <t>Geocoding</t>
        </is>
      </c>
      <c r="D29" s="2" t="inlineStr">
        <is>
          <t>GEO suite regression</t>
        </is>
      </c>
      <c r="E29" s="2" t="inlineStr">
        <is>
          <t>Isolated harness available</t>
        </is>
      </c>
      <c r="F29" s="2" t="inlineStr">
        <is>
          <t>Run GEO-001..004</t>
        </is>
      </c>
      <c r="G29" s="2" t="inlineStr">
        <is>
          <t>All four pass; assertions unchanged</t>
        </is>
      </c>
      <c r="H29" s="2" t="inlineStr">
        <is>
          <t>P0</t>
        </is>
      </c>
      <c r="I29" s="2" t="inlineStr">
        <is>
          <t>Regression</t>
        </is>
      </c>
      <c r="J29" s="2" t="inlineStr">
        <is>
          <t>Automated</t>
        </is>
      </c>
      <c r="K29" s="2" t="inlineStr">
        <is>
          <t>PASS</t>
        </is>
      </c>
      <c r="L29" s="2" t="inlineStr">
        <is>
          <t>Playwright GEO suite: 4/4 passed, 1 setup skipped (no admin credentials)</t>
        </is>
      </c>
      <c r="M29" s="2" t="inlineStr">
        <is>
          <t>npx playwright test --grep GEO-00</t>
        </is>
      </c>
      <c r="N29" s="2" t="inlineStr">
        <is>
          <t>2026-09-04</t>
        </is>
      </c>
      <c r="O29" s="2" t="inlineStr">
        <is>
          <t>Isolated stack; 50.6s.</t>
        </is>
      </c>
    </row>
    <row r="30">
      <c r="A30" s="2" t="inlineStr">
        <is>
          <t>REG-003</t>
        </is>
      </c>
      <c r="B30" s="2" t="inlineStr">
        <is>
          <t>Regression</t>
        </is>
      </c>
      <c r="C30" s="2" t="inlineStr">
        <is>
          <t>Backend</t>
        </is>
      </c>
      <c r="D30" s="2" t="inlineStr">
        <is>
          <t>Focused geocoding tests</t>
        </is>
      </c>
      <c r="E30" s="2" t="inlineStr">
        <is>
          <t>Backend available</t>
        </is>
      </c>
      <c r="F30" s="2" t="inlineStr">
        <is>
          <t>Run focused geocoding/address-coordinate tests</t>
        </is>
      </c>
      <c r="G30" s="2" t="inlineStr">
        <is>
          <t>All pass</t>
        </is>
      </c>
      <c r="H30" s="2" t="inlineStr">
        <is>
          <t>P0</t>
        </is>
      </c>
      <c r="I30" s="2" t="inlineStr">
        <is>
          <t>Regression</t>
        </is>
      </c>
      <c r="J30" s="2" t="inlineStr">
        <is>
          <t>Automated</t>
        </is>
      </c>
      <c r="K30" s="2" t="inlineStr">
        <is>
          <t>PASS</t>
        </is>
      </c>
      <c r="L30" s="2" t="inlineStr">
        <is>
          <t>5 suites / 106 tests passed</t>
        </is>
      </c>
      <c r="M30" s="2" t="inlineStr">
        <is>
          <t>npx jest geocoding.service, geocoding-diagnostic, address-geocoding, address-coordinate-patch, users-address</t>
        </is>
      </c>
      <c r="N30" s="2" t="inlineStr">
        <is>
          <t>2026-09-04</t>
        </is>
      </c>
      <c r="O30" s="2" t="inlineStr">
        <is>
          <t>Focused backend geocoding + coordinate regression.</t>
        </is>
      </c>
    </row>
    <row r="31">
      <c r="A31" s="2" t="inlineStr">
        <is>
          <t>REG-004</t>
        </is>
      </c>
      <c r="B31" s="2" t="inlineStr">
        <is>
          <t>Regression</t>
        </is>
      </c>
      <c r="C31" s="2" t="inlineStr">
        <is>
          <t>Frontend</t>
        </is>
      </c>
      <c r="D31" s="2" t="inlineStr">
        <is>
          <t>Coordinate tests</t>
        </is>
      </c>
      <c r="E31" s="2" t="inlineStr">
        <is>
          <t>Frontend available</t>
        </is>
      </c>
      <c r="F31" s="2" t="inlineStr">
        <is>
          <t>Run coordinate/address tests</t>
        </is>
      </c>
      <c r="G31" s="2" t="inlineStr">
        <is>
          <t>All relevant tests pass</t>
        </is>
      </c>
      <c r="H31" s="2" t="inlineStr">
        <is>
          <t>P1</t>
        </is>
      </c>
      <c r="I31" s="2" t="inlineStr">
        <is>
          <t>Regression</t>
        </is>
      </c>
      <c r="J31" s="2" t="inlineStr">
        <is>
          <t>Automated</t>
        </is>
      </c>
      <c r="K31" s="2" t="inlineStr">
        <is>
          <t>PASS</t>
        </is>
      </c>
      <c r="L31" s="2" t="inlineStr">
        <is>
          <t>Frontend 85/85 passed; coordinate subset 9/9</t>
        </is>
      </c>
      <c r="M31" s="2" t="inlineStr">
        <is>
          <t>npm test (frontend) + node --test lib/address/coordinates.test.ts</t>
        </is>
      </c>
      <c r="N31" s="2" t="inlineStr">
        <is>
          <t>2026-09-04</t>
        </is>
      </c>
      <c r="O31" s="2" t="inlineStr">
        <is>
          <t>Includes the isUsableCoordinate / coordinateFieldsForUpdate suite.</t>
        </is>
      </c>
    </row>
    <row r="32">
      <c r="A32" t="inlineStr">
        <is>
          <t>PHONE-001</t>
        </is>
      </c>
      <c r="B32" t="inlineStr">
        <is>
          <t>Phone QA</t>
        </is>
      </c>
      <c r="C32" t="inlineStr">
        <is>
          <t>Address</t>
        </is>
      </c>
      <c r="D32" t="inlineStr">
        <is>
          <t>Address phone accepts valid 08xxxxxxxxxx</t>
        </is>
      </c>
      <c r="E32" t="inlineStr">
        <is>
          <t>Authenticated customer; isolated E2E DB</t>
        </is>
      </c>
      <c r="F32" t="inlineStr">
        <is>
          <t>CREATE address with phone 081200000000</t>
        </is>
      </c>
      <c r="G32" t="inlineStr">
        <is>
          <t>201; value accepted and persisted</t>
        </is>
      </c>
      <c r="H32" t="inlineStr">
        <is>
          <t>P0</t>
        </is>
      </c>
      <c r="I32" t="inlineStr">
        <is>
          <t>API</t>
        </is>
      </c>
      <c r="J32" t="inlineStr">
        <is>
          <t>Automated</t>
        </is>
      </c>
      <c r="K32" t="inlineStr">
        <is>
          <t>PASS</t>
        </is>
      </c>
      <c r="L32" t="inlineStr">
        <is>
          <t>081200000000 -&gt; CREATE 201; stored canonical *********0000 (628…)</t>
        </is>
      </c>
      <c r="M32" t="inlineStr">
        <is>
          <t>phone-api-runner on disposable MySQL 8.4 (phone_api); real HTTP; values masked</t>
        </is>
      </c>
      <c r="N32" t="inlineStr">
        <is>
          <t>2026-09-04</t>
        </is>
      </c>
      <c r="O32" t="inlineStr">
        <is>
          <t>Now normalised on write (61AG.3.20); previously stored verbatim.</t>
        </is>
      </c>
    </row>
    <row r="33">
      <c r="A33" t="inlineStr">
        <is>
          <t>PHONE-002</t>
        </is>
      </c>
      <c r="B33" t="inlineStr">
        <is>
          <t>Phone QA</t>
        </is>
      </c>
      <c r="C33" t="inlineStr">
        <is>
          <t>Address</t>
        </is>
      </c>
      <c r="D33" t="inlineStr">
        <is>
          <t>Address phone accepts valid +628xxxxxxxxxx</t>
        </is>
      </c>
      <c r="E33" t="inlineStr">
        <is>
          <t>Authenticated customer; isolated E2E DB</t>
        </is>
      </c>
      <c r="F33" t="inlineStr">
        <is>
          <t>CREATE address with phone +6281200000000</t>
        </is>
      </c>
      <c r="G33" t="inlineStr">
        <is>
          <t>201; value accepted and persisted</t>
        </is>
      </c>
      <c r="H33" t="inlineStr">
        <is>
          <t>P0</t>
        </is>
      </c>
      <c r="I33" t="inlineStr">
        <is>
          <t>API</t>
        </is>
      </c>
      <c r="J33" t="inlineStr">
        <is>
          <t>Automated</t>
        </is>
      </c>
      <c r="K33" t="inlineStr">
        <is>
          <t>PASS</t>
        </is>
      </c>
      <c r="L33" t="inlineStr">
        <is>
          <t>+6281200000000 -&gt; CREATE 201; stored canonical *********0000 (628…), NOT verbatim</t>
        </is>
      </c>
      <c r="M33" t="inlineStr">
        <is>
          <t>phone-api-runner on disposable MySQL 8.4 (phone_api); real HTTP; values masked</t>
        </is>
      </c>
      <c r="N33" t="inlineStr">
        <is>
          <t>2026-09-04</t>
        </is>
      </c>
      <c r="O33" t="inlineStr">
        <is>
          <t>Changed by 61AG.3.20: the + form is now normalised to 628… before persistence.</t>
        </is>
      </c>
    </row>
    <row r="34">
      <c r="A34" t="inlineStr">
        <is>
          <t>PHONE-003</t>
        </is>
      </c>
      <c r="B34" t="inlineStr">
        <is>
          <t>Phone QA</t>
        </is>
      </c>
      <c r="C34" t="inlineStr">
        <is>
          <t>Address</t>
        </is>
      </c>
      <c r="D34" t="inlineStr">
        <is>
          <t>Address phone accepts valid 628xxxxxxxxxx</t>
        </is>
      </c>
      <c r="E34" t="inlineStr">
        <is>
          <t>Authenticated customer; isolated E2E DB</t>
        </is>
      </c>
      <c r="F34" t="inlineStr">
        <is>
          <t>CREATE address with phone 6281200000000</t>
        </is>
      </c>
      <c r="G34" t="inlineStr">
        <is>
          <t>201; value accepted and persisted</t>
        </is>
      </c>
      <c r="H34" t="inlineStr">
        <is>
          <t>P0</t>
        </is>
      </c>
      <c r="I34" t="inlineStr">
        <is>
          <t>API</t>
        </is>
      </c>
      <c r="J34" t="inlineStr">
        <is>
          <t>Automated</t>
        </is>
      </c>
      <c r="K34" t="inlineStr">
        <is>
          <t>PASS</t>
        </is>
      </c>
      <c r="L34" t="inlineStr">
        <is>
          <t>6281200000000 -&gt; CREATE 201; stored canonical *********0000 (already 628…)</t>
        </is>
      </c>
      <c r="M34" t="inlineStr">
        <is>
          <t>phone-api-runner on disposable MySQL 8.4 (phone_api); real HTTP; values masked</t>
        </is>
      </c>
      <c r="N34" t="inlineStr">
        <is>
          <t>2026-09-04</t>
        </is>
      </c>
      <c r="O34" t="inlineStr">
        <is>
          <t>Canonical input is a fixed point of normalisation.</t>
        </is>
      </c>
    </row>
    <row r="35">
      <c r="A35" t="inlineStr">
        <is>
          <t>PHONE-004</t>
        </is>
      </c>
      <c r="B35" t="inlineStr">
        <is>
          <t>Phone QA</t>
        </is>
      </c>
      <c r="C35" t="inlineStr">
        <is>
          <t>Address</t>
        </is>
      </c>
      <c r="D35" t="inlineStr">
        <is>
          <t>Address phone rejects too-short mobile number</t>
        </is>
      </c>
      <c r="E35" t="inlineStr">
        <is>
          <t>Authenticated customer</t>
        </is>
      </c>
      <c r="F35" t="inlineStr">
        <is>
          <t>CREATE/PATCH with "0812" and "081200000" (9)</t>
        </is>
      </c>
      <c r="G35" t="inlineStr">
        <is>
          <t>400; not persisted</t>
        </is>
      </c>
      <c r="H35" t="inlineStr">
        <is>
          <t>P0</t>
        </is>
      </c>
      <c r="I35" t="inlineStr">
        <is>
          <t>API</t>
        </is>
      </c>
      <c r="J35" t="inlineStr">
        <is>
          <t>Automated</t>
        </is>
      </c>
      <c r="K35" t="inlineStr">
        <is>
          <t>PASS</t>
        </is>
      </c>
      <c r="L35" t="inlineStr">
        <is>
          <t>"0812" and "081200000" -&gt; CREATE 400; nothing persisted</t>
        </is>
      </c>
      <c r="M35" t="inlineStr">
        <is>
          <t>phone-api-runner on disposable MySQL 8.4 (phone_api); real HTTP; values masked</t>
        </is>
      </c>
      <c r="N35" t="inlineStr">
        <is>
          <t>2026-09-04</t>
        </is>
      </c>
      <c r="O35" t="inlineStr">
        <is>
          <t>Now rejected by the mobile validator (length is enforced inside normalizePhoneNumber).</t>
        </is>
      </c>
    </row>
    <row r="36">
      <c r="A36" t="inlineStr">
        <is>
          <t>PHONE-005</t>
        </is>
      </c>
      <c r="B36" t="inlineStr">
        <is>
          <t>Phone QA</t>
        </is>
      </c>
      <c r="C36" t="inlineStr">
        <is>
          <t>Address</t>
        </is>
      </c>
      <c r="D36" t="inlineStr">
        <is>
          <t>Address phone rejects too-long mobile number</t>
        </is>
      </c>
      <c r="E36" t="inlineStr">
        <is>
          <t>Authenticated customer</t>
        </is>
      </c>
      <c r="F36" t="inlineStr">
        <is>
          <t>CREATE/PATCH with a 19-digit value</t>
        </is>
      </c>
      <c r="G36" t="inlineStr">
        <is>
          <t>400; not persisted</t>
        </is>
      </c>
      <c r="H36" t="inlineStr">
        <is>
          <t>P0</t>
        </is>
      </c>
      <c r="I36" t="inlineStr">
        <is>
          <t>API</t>
        </is>
      </c>
      <c r="J36" t="inlineStr">
        <is>
          <t>Automated</t>
        </is>
      </c>
      <c r="K36" t="inlineStr">
        <is>
          <t>PASS</t>
        </is>
      </c>
      <c r="L36" t="inlineStr">
        <is>
          <t>19-digit value -&gt; CREATE 400; nothing persisted</t>
        </is>
      </c>
      <c r="M36" t="inlineStr">
        <is>
          <t>phone-api-runner on disposable MySQL 8.4 (phone_api); real HTTP; values masked</t>
        </is>
      </c>
      <c r="N36" t="inlineStr">
        <is>
          <t>2026-09-04</t>
        </is>
      </c>
      <c r="O36" t="inlineStr">
        <is>
          <t>Rejected by the mobile validator.</t>
        </is>
      </c>
    </row>
    <row r="37">
      <c r="A37" t="inlineStr">
        <is>
          <t>PHONE-006</t>
        </is>
      </c>
      <c r="B37" t="inlineStr">
        <is>
          <t>Phone QA</t>
        </is>
      </c>
      <c r="C37" t="inlineStr">
        <is>
          <t>Address</t>
        </is>
      </c>
      <c r="D37" t="inlineStr">
        <is>
          <t>Address phone rejects alphabetic/mixed garbage</t>
        </is>
      </c>
      <c r="E37" t="inlineStr">
        <is>
          <t>Authenticated customer</t>
        </is>
      </c>
      <c r="F37" t="inlineStr">
        <is>
          <t>CREATE/PATCH with "abcdefghij" and "ab12!@#$%^&amp;*"</t>
        </is>
      </c>
      <c r="G37" t="inlineStr">
        <is>
          <t>400; not persisted</t>
        </is>
      </c>
      <c r="H37" t="inlineStr">
        <is>
          <t>P0</t>
        </is>
      </c>
      <c r="I37" t="inlineStr">
        <is>
          <t>API</t>
        </is>
      </c>
      <c r="J37" t="inlineStr">
        <is>
          <t>Automated</t>
        </is>
      </c>
      <c r="K37" t="inlineStr">
        <is>
          <t>PASS</t>
        </is>
      </c>
      <c r="L37" t="inlineStr">
        <is>
          <t>abcdefghij -&gt; CREATE 400, PATCH 400; ab12!@#$%^&amp;* -&gt; 400/400; nothing persisted</t>
        </is>
      </c>
      <c r="M37" t="inlineStr">
        <is>
          <t>phone-api-runner PHONE-022/023/027/028</t>
        </is>
      </c>
      <c r="N37" t="inlineStr">
        <is>
          <t>2026-09-04</t>
        </is>
      </c>
      <c r="O37" t="inlineStr">
        <is>
          <t>Fixed in 61AG.3.20: @IsIndonesianMobile replaces length-only validation.</t>
        </is>
      </c>
    </row>
    <row r="38">
      <c r="A38" t="inlineStr">
        <is>
          <t>PHONE-007</t>
        </is>
      </c>
      <c r="B38" t="inlineStr">
        <is>
          <t>Phone QA</t>
        </is>
      </c>
      <c r="C38" t="inlineStr">
        <is>
          <t>Address</t>
        </is>
      </c>
      <c r="D38" t="inlineStr">
        <is>
          <t>Address phone rejects malformed country-code format</t>
        </is>
      </c>
      <c r="E38" t="inlineStr">
        <is>
          <t>Authenticated customer</t>
        </is>
      </c>
      <c r="F38" t="inlineStr">
        <is>
          <t>CREATE/PATCH with "+62abc1234567" and "62"</t>
        </is>
      </c>
      <c r="G38" t="inlineStr">
        <is>
          <t>400; not persisted</t>
        </is>
      </c>
      <c r="H38" t="inlineStr">
        <is>
          <t>P0</t>
        </is>
      </c>
      <c r="I38" t="inlineStr">
        <is>
          <t>API</t>
        </is>
      </c>
      <c r="J38" t="inlineStr">
        <is>
          <t>Automated</t>
        </is>
      </c>
      <c r="K38" t="inlineStr">
        <is>
          <t>PASS</t>
        </is>
      </c>
      <c r="L38" t="inlineStr">
        <is>
          <t>+62abc1234567 -&gt; CREATE 400, PATCH 400; 62 -&gt; 400</t>
        </is>
      </c>
      <c r="M38" t="inlineStr">
        <is>
          <t>phone-api-runner PHONE-024/027/028</t>
        </is>
      </c>
      <c r="N38" t="inlineStr">
        <is>
          <t>2026-09-04</t>
        </is>
      </c>
      <c r="O38" t="inlineStr">
        <is>
          <t>Fixed in 61AG.3.20.</t>
        </is>
      </c>
    </row>
    <row r="39">
      <c r="A39" t="inlineStr">
        <is>
          <t>PHONE-008</t>
        </is>
      </c>
      <c r="B39" t="inlineStr">
        <is>
          <t>Phone QA</t>
        </is>
      </c>
      <c r="C39" t="inlineStr">
        <is>
          <t>Address</t>
        </is>
      </c>
      <c r="D39" t="inlineStr">
        <is>
          <t>Address phone rejects invalid landline format</t>
        </is>
      </c>
      <c r="E39" t="inlineStr">
        <is>
          <t>Authenticated customer; mobile-only contract REQUIRED for this case to apply</t>
        </is>
      </c>
      <c r="F39" t="inlineStr">
        <is>
          <t>CREATE/PATCH with "0211234567" / "0221234567"</t>
        </is>
      </c>
      <c r="G39" t="inlineStr">
        <is>
          <t>Depends on contract: reject only if the address phone is mobile-only</t>
        </is>
      </c>
      <c r="H39" t="inlineStr">
        <is>
          <t>P2</t>
        </is>
      </c>
      <c r="I39" t="inlineStr">
        <is>
          <t>API</t>
        </is>
      </c>
      <c r="J39" t="inlineStr">
        <is>
          <t>Automated</t>
        </is>
      </c>
      <c r="K39" t="inlineStr">
        <is>
          <t>PASS</t>
        </is>
      </c>
      <c r="L39" t="inlineStr">
        <is>
          <t>Jakarta and Bandung landlines -&gt; CREATE 400, nothing persisted</t>
        </is>
      </c>
      <c r="M39" t="inlineStr">
        <is>
          <t>phone-api-runner PHONE-020 + unit suite</t>
        </is>
      </c>
      <c r="N39" t="inlineStr">
        <is>
          <t>2026-09-04</t>
        </is>
      </c>
      <c r="O39" t="inlineStr">
        <is>
          <t>Contract locked in 61AG.3.20: the address phone is mobile-only.</t>
        </is>
      </c>
    </row>
    <row r="40">
      <c r="A40" t="inlineStr">
        <is>
          <t>PHONE-009</t>
        </is>
      </c>
      <c r="B40" t="inlineStr">
        <is>
          <t>Phone QA</t>
        </is>
      </c>
      <c r="C40" t="inlineStr">
        <is>
          <t>Address</t>
        </is>
      </c>
      <c r="D40" t="inlineStr">
        <is>
          <t>Address phone masking formats input correctly</t>
        </is>
      </c>
      <c r="E40" t="inlineStr">
        <is>
          <t>Address form open in a browser</t>
        </is>
      </c>
      <c r="F40" t="inlineStr">
        <is>
          <t>Type digits, +, spaces, dashes; observe formatting</t>
        </is>
      </c>
      <c r="G40" t="inlineStr">
        <is>
          <t>Input is masked/formatted; submitted payload matches the contract</t>
        </is>
      </c>
      <c r="H40" t="inlineStr">
        <is>
          <t>P2</t>
        </is>
      </c>
      <c r="I40" t="inlineStr">
        <is>
          <t>Browser</t>
        </is>
      </c>
      <c r="J40" t="inlineStr">
        <is>
          <t>Automated</t>
        </is>
      </c>
      <c r="K40" t="inlineStr">
        <is>
          <t>PASS</t>
        </is>
      </c>
      <c r="L40" t="inlineStr">
        <is>
          <t>Address form now formats input live as 0812-3456-7890 and folds pasted +62/62/bare-8 forms into the same shape.</t>
        </is>
      </c>
      <c r="M40" t="inlineStr">
        <is>
          <t>frontend components/account/address-form.tsx + lib/address/phone.ts; frontend suite 96/96</t>
        </is>
      </c>
      <c r="N40" t="inlineStr">
        <is>
          <t>2026-09-04</t>
        </is>
      </c>
      <c r="O40" t="inlineStr">
        <is>
          <t>Masking implemented in 61AG.3.20; 11 formatter unit tests.</t>
        </is>
      </c>
    </row>
    <row r="41">
      <c r="A41" t="inlineStr">
        <is>
          <t>PHONE-010</t>
        </is>
      </c>
      <c r="B41" t="inlineStr">
        <is>
          <t>Phone QA</t>
        </is>
      </c>
      <c r="C41" t="inlineStr">
        <is>
          <t>Address</t>
        </is>
      </c>
      <c r="D41" t="inlineStr">
        <is>
          <t>Address phone CREATE API rejects invalid number</t>
        </is>
      </c>
      <c r="E41" t="inlineStr">
        <is>
          <t>Authenticated customer</t>
        </is>
      </c>
      <c r="F41" t="inlineStr">
        <is>
          <t>POST /users/me/addresses with an invalid phone</t>
        </is>
      </c>
      <c r="G41" t="inlineStr">
        <is>
          <t>400; nothing persisted</t>
        </is>
      </c>
      <c r="H41" t="inlineStr">
        <is>
          <t>P0</t>
        </is>
      </c>
      <c r="I41" t="inlineStr">
        <is>
          <t>API</t>
        </is>
      </c>
      <c r="J41" t="inlineStr">
        <is>
          <t>Automated</t>
        </is>
      </c>
      <c r="K41" t="inlineStr">
        <is>
          <t>PASS</t>
        </is>
      </c>
      <c r="L41" t="inlineStr">
        <is>
          <t>Every invalid form rejected at CREATE with 400; nothing persisted</t>
        </is>
      </c>
      <c r="M41" t="inlineStr">
        <is>
          <t>phone-api-runner PHONE-027</t>
        </is>
      </c>
      <c r="N41" t="inlineStr">
        <is>
          <t>2026-09-04</t>
        </is>
      </c>
      <c r="O41" t="inlineStr">
        <is>
          <t>Backend is authoritative and now sufficient.</t>
        </is>
      </c>
    </row>
    <row r="42">
      <c r="A42" t="inlineStr">
        <is>
          <t>PHONE-011</t>
        </is>
      </c>
      <c r="B42" t="inlineStr">
        <is>
          <t>Phone QA</t>
        </is>
      </c>
      <c r="C42" t="inlineStr">
        <is>
          <t>Address</t>
        </is>
      </c>
      <c r="D42" t="inlineStr">
        <is>
          <t>Address phone PATCH API rejects invalid number</t>
        </is>
      </c>
      <c r="E42" t="inlineStr">
        <is>
          <t>Authenticated customer; address exists</t>
        </is>
      </c>
      <c r="F42" t="inlineStr">
        <is>
          <t>PATCH phone with an invalid value</t>
        </is>
      </c>
      <c r="G42" t="inlineStr">
        <is>
          <t>400; stored phone unchanged</t>
        </is>
      </c>
      <c r="H42" t="inlineStr">
        <is>
          <t>P0</t>
        </is>
      </c>
      <c r="I42" t="inlineStr">
        <is>
          <t>API</t>
        </is>
      </c>
      <c r="J42" t="inlineStr">
        <is>
          <t>Automated</t>
        </is>
      </c>
      <c r="K42" t="inlineStr">
        <is>
          <t>PASS</t>
        </is>
      </c>
      <c r="L42" t="inlineStr">
        <is>
          <t>Every invalid form rejected at PATCH with 400; stored value unchanged</t>
        </is>
      </c>
      <c r="M42" t="inlineStr">
        <is>
          <t>phone-api-runner PHONE-028</t>
        </is>
      </c>
      <c r="N42" t="inlineStr">
        <is>
          <t>2026-09-04</t>
        </is>
      </c>
      <c r="O42" t="inlineStr">
        <is>
          <t>CREATE and PATCH share one contract.</t>
        </is>
      </c>
    </row>
    <row r="43">
      <c r="A43" t="inlineStr">
        <is>
          <t>PHONE-012</t>
        </is>
      </c>
      <c r="B43" t="inlineStr">
        <is>
          <t>Phone QA</t>
        </is>
      </c>
      <c r="C43" t="inlineStr">
        <is>
          <t>Address</t>
        </is>
      </c>
      <c r="D43" t="inlineStr">
        <is>
          <t>Address phone PATCH accepts valid number</t>
        </is>
      </c>
      <c r="E43" t="inlineStr">
        <is>
          <t>Authenticated customer; address exists</t>
        </is>
      </c>
      <c r="F43" t="inlineStr">
        <is>
          <t>PATCH phone with 081200000000</t>
        </is>
      </c>
      <c r="G43" t="inlineStr">
        <is>
          <t>200; value updated</t>
        </is>
      </c>
      <c r="H43" t="inlineStr">
        <is>
          <t>P0</t>
        </is>
      </c>
      <c r="I43" t="inlineStr">
        <is>
          <t>API</t>
        </is>
      </c>
      <c r="J43" t="inlineStr">
        <is>
          <t>Automated</t>
        </is>
      </c>
      <c r="K43" t="inlineStr">
        <is>
          <t>PASS</t>
        </is>
      </c>
      <c r="L43" t="inlineStr">
        <is>
          <t>PATCH 200 for 08/+62/62 forms; each stored canonical *********0000</t>
        </is>
      </c>
      <c r="M43" t="inlineStr">
        <is>
          <t>phone-api-runner on disposable MySQL 8.4 (phone_api); real HTTP; values masked</t>
        </is>
      </c>
      <c r="N43" t="inlineStr">
        <is>
          <t>2026-09-04</t>
        </is>
      </c>
      <c r="O43" t="inlineStr">
        <is>
          <t>PATCH shares the create contract and normalises identically.</t>
        </is>
      </c>
    </row>
    <row r="44">
      <c r="A44" t="inlineStr">
        <is>
          <t>PHONE-013</t>
        </is>
      </c>
      <c r="B44" t="inlineStr">
        <is>
          <t>Phone QA</t>
        </is>
      </c>
      <c r="C44" t="inlineStr">
        <is>
          <t>Address</t>
        </is>
      </c>
      <c r="D44" t="inlineStr">
        <is>
          <t>Address phone paste behaviour</t>
        </is>
      </c>
      <c r="E44" t="inlineStr">
        <is>
          <t>Address form open in a browser</t>
        </is>
      </c>
      <c r="F44" t="inlineStr">
        <is>
          <t>Paste a formatted number into the phone field</t>
        </is>
      </c>
      <c r="G44" t="inlineStr">
        <is>
          <t>Pasted value is handled per the masking contract</t>
        </is>
      </c>
      <c r="H44" t="inlineStr">
        <is>
          <t>P2</t>
        </is>
      </c>
      <c r="I44" t="inlineStr">
        <is>
          <t>Browser</t>
        </is>
      </c>
      <c r="J44" t="inlineStr">
        <is>
          <t>Automated</t>
        </is>
      </c>
      <c r="K44" t="inlineStr">
        <is>
          <t>NOT_RUN</t>
        </is>
      </c>
      <c r="O44" t="inlineStr">
        <is>
          <t>Superseded by PHONE-030; no browser paste event fired in this phase.</t>
        </is>
      </c>
    </row>
    <row r="45">
      <c r="A45" t="inlineStr">
        <is>
          <t>PHONE-014</t>
        </is>
      </c>
      <c r="B45" t="inlineStr">
        <is>
          <t>Phone QA</t>
        </is>
      </c>
      <c r="C45" t="inlineStr">
        <is>
          <t>Address</t>
        </is>
      </c>
      <c r="D45" t="inlineStr">
        <is>
          <t>Address phone edit preserves valid existing number</t>
        </is>
      </c>
      <c r="E45" t="inlineStr">
        <is>
          <t>Address with a valid stored phone</t>
        </is>
      </c>
      <c r="F45" t="inlineStr">
        <is>
          <t>Open edit, change only the label, save</t>
        </is>
      </c>
      <c r="G45" t="inlineStr">
        <is>
          <t>200; stored phone unchanged</t>
        </is>
      </c>
      <c r="H45" t="inlineStr">
        <is>
          <t>P1</t>
        </is>
      </c>
      <c r="I45" t="inlineStr">
        <is>
          <t>Browser</t>
        </is>
      </c>
      <c r="J45" t="inlineStr">
        <is>
          <t>Automated</t>
        </is>
      </c>
      <c r="K45" t="inlineStr">
        <is>
          <t>NOT_RUN</t>
        </is>
      </c>
      <c r="O45" t="inlineStr">
        <is>
          <t>No dedicated browser spec; the API equivalent is covered by PHONE-035.</t>
        </is>
      </c>
    </row>
    <row r="46">
      <c r="A46" t="inlineStr">
        <is>
          <t>PHONE-015</t>
        </is>
      </c>
      <c r="B46" t="inlineStr">
        <is>
          <t>Phone QA</t>
        </is>
      </c>
      <c r="C46" t="inlineStr">
        <is>
          <t>Address</t>
        </is>
      </c>
      <c r="D46" t="inlineStr">
        <is>
          <t>Address phone normalization is consistent</t>
        </is>
      </c>
      <c r="E46" t="inlineStr">
        <is>
          <t>Normalisation must be part of the contract for this case to apply</t>
        </is>
      </c>
      <c r="F46" t="inlineStr">
        <is>
          <t>Submit 08/62/+62 forms and compare stored values</t>
        </is>
      </c>
      <c r="G46" t="inlineStr">
        <is>
          <t>Depends on contract: stored form should be canonical if normalisation is adopted</t>
        </is>
      </c>
      <c r="H46" t="inlineStr">
        <is>
          <t>P2</t>
        </is>
      </c>
      <c r="I46" t="inlineStr">
        <is>
          <t>API</t>
        </is>
      </c>
      <c r="J46" t="inlineStr">
        <is>
          <t>Automated</t>
        </is>
      </c>
      <c r="K46" t="inlineStr">
        <is>
          <t>PASS</t>
        </is>
      </c>
      <c r="L46" t="inlineStr">
        <is>
          <t>08/+62/62/formatted inputs all persist as canonical 6281200000000</t>
        </is>
      </c>
      <c r="M46" t="inlineStr">
        <is>
          <t>phone-api-runner PHONE-016..019/025/026</t>
        </is>
      </c>
      <c r="N46" t="inlineStr">
        <is>
          <t>2026-09-04</t>
        </is>
      </c>
      <c r="O46" t="inlineStr">
        <is>
          <t>Normalisation adopted in 61AG.3.20 via @Transform on the DTO.</t>
        </is>
      </c>
    </row>
    <row r="47">
      <c r="A47" t="inlineStr">
        <is>
          <t>PHONE-016</t>
        </is>
      </c>
      <c r="B47" t="inlineStr">
        <is>
          <t>Phone QA</t>
        </is>
      </c>
      <c r="C47" t="inlineStr">
        <is>
          <t>Address</t>
        </is>
      </c>
      <c r="D47" t="inlineStr">
        <is>
          <t>Valid 08 mobile normalizes to 628</t>
        </is>
      </c>
      <c r="E47" t="inlineStr">
        <is>
          <t>Authenticated customer; isolated E2E DB</t>
        </is>
      </c>
      <c r="F47" t="inlineStr">
        <is>
          <t>CREATE address with phone 081200000000</t>
        </is>
      </c>
      <c r="G47" t="inlineStr">
        <is>
          <t>201; stored value is canonical 628…</t>
        </is>
      </c>
      <c r="H47" t="inlineStr">
        <is>
          <t>P0</t>
        </is>
      </c>
      <c r="I47" t="inlineStr">
        <is>
          <t>API</t>
        </is>
      </c>
      <c r="J47" t="inlineStr">
        <is>
          <t>Automated</t>
        </is>
      </c>
      <c r="K47" t="inlineStr">
        <is>
          <t>PASS</t>
        </is>
      </c>
      <c r="L47" t="inlineStr">
        <is>
          <t>national 08 form: CREATE 201; stored *********0000 (canonical 628…: true)</t>
        </is>
      </c>
      <c r="M47" t="inlineStr">
        <is>
          <t>phone-api-runner on disposable MySQL 8.4 (phone_api); real HTTP CREATE/PATCH; synthetic numbers</t>
        </is>
      </c>
      <c r="N47" t="inlineStr">
        <is>
          <t>2026-09-04</t>
        </is>
      </c>
      <c r="O47" t="inlineStr">
        <is>
          <t>Behaviour matches the locked mobile-only + canonical 628 contract.</t>
        </is>
      </c>
    </row>
    <row r="48">
      <c r="A48" t="inlineStr">
        <is>
          <t>PHONE-017</t>
        </is>
      </c>
      <c r="B48" t="inlineStr">
        <is>
          <t>Phone QA</t>
        </is>
      </c>
      <c r="C48" t="inlineStr">
        <is>
          <t>Address</t>
        </is>
      </c>
      <c r="D48" t="inlineStr">
        <is>
          <t>Valid +62 mobile normalizes to 628</t>
        </is>
      </c>
      <c r="E48" t="inlineStr">
        <is>
          <t>Authenticated customer; isolated E2E DB</t>
        </is>
      </c>
      <c r="F48" t="inlineStr">
        <is>
          <t>CREATE address with phone +6281200000000</t>
        </is>
      </c>
      <c r="G48" t="inlineStr">
        <is>
          <t>201; stored value is canonical 628…</t>
        </is>
      </c>
      <c r="H48" t="inlineStr">
        <is>
          <t>P0</t>
        </is>
      </c>
      <c r="I48" t="inlineStr">
        <is>
          <t>API</t>
        </is>
      </c>
      <c r="J48" t="inlineStr">
        <is>
          <t>Automated</t>
        </is>
      </c>
      <c r="K48" t="inlineStr">
        <is>
          <t>PASS</t>
        </is>
      </c>
      <c r="L48" t="inlineStr">
        <is>
          <t>E.164 +62 form: CREATE 201; stored *********0000 (canonical 628…: true)</t>
        </is>
      </c>
      <c r="M48" t="inlineStr">
        <is>
          <t>phone-api-runner on disposable MySQL 8.4 (phone_api); real HTTP CREATE/PATCH; synthetic numbers</t>
        </is>
      </c>
      <c r="N48" t="inlineStr">
        <is>
          <t>2026-09-04</t>
        </is>
      </c>
      <c r="O48" t="inlineStr">
        <is>
          <t>Behaviour matches the locked mobile-only + canonical 628 contract.</t>
        </is>
      </c>
    </row>
    <row r="49">
      <c r="A49" t="inlineStr">
        <is>
          <t>PHONE-018</t>
        </is>
      </c>
      <c r="B49" t="inlineStr">
        <is>
          <t>Phone QA</t>
        </is>
      </c>
      <c r="C49" t="inlineStr">
        <is>
          <t>Address</t>
        </is>
      </c>
      <c r="D49" t="inlineStr">
        <is>
          <t>Valid 62 mobile remains canonical 628</t>
        </is>
      </c>
      <c r="E49" t="inlineStr">
        <is>
          <t>Authenticated customer; isolated E2E DB</t>
        </is>
      </c>
      <c r="F49" t="inlineStr">
        <is>
          <t>CREATE address with phone 6281200000000</t>
        </is>
      </c>
      <c r="G49" t="inlineStr">
        <is>
          <t>201; stored value is canonical 628…</t>
        </is>
      </c>
      <c r="H49" t="inlineStr">
        <is>
          <t>P0</t>
        </is>
      </c>
      <c r="I49" t="inlineStr">
        <is>
          <t>API</t>
        </is>
      </c>
      <c r="J49" t="inlineStr">
        <is>
          <t>Automated</t>
        </is>
      </c>
      <c r="K49" t="inlineStr">
        <is>
          <t>PASS</t>
        </is>
      </c>
      <c r="L49" t="inlineStr">
        <is>
          <t>country-code 62 form: CREATE 201; stored *********0000 (canonical 628…: true)</t>
        </is>
      </c>
      <c r="M49" t="inlineStr">
        <is>
          <t>phone-api-runner on disposable MySQL 8.4 (phone_api); real HTTP CREATE/PATCH; synthetic numbers</t>
        </is>
      </c>
      <c r="N49" t="inlineStr">
        <is>
          <t>2026-09-04</t>
        </is>
      </c>
      <c r="O49" t="inlineStr">
        <is>
          <t>Behaviour matches the locked mobile-only + canonical 628 contract.</t>
        </is>
      </c>
    </row>
    <row r="50">
      <c r="A50" t="inlineStr">
        <is>
          <t>PHONE-019</t>
        </is>
      </c>
      <c r="B50" t="inlineStr">
        <is>
          <t>Phone QA</t>
        </is>
      </c>
      <c r="C50" t="inlineStr">
        <is>
          <t>Address</t>
        </is>
      </c>
      <c r="D50" t="inlineStr">
        <is>
          <t>Formatted mobile with spaces/hyphens normalizes to 628</t>
        </is>
      </c>
      <c r="E50" t="inlineStr">
        <is>
          <t>Authenticated customer; isolated E2E DB</t>
        </is>
      </c>
      <c r="F50" t="inlineStr">
        <is>
          <t>CREATE address with phone 0812-0000-0000</t>
        </is>
      </c>
      <c r="G50" t="inlineStr">
        <is>
          <t>201; separators stripped; stored canonical 628…</t>
        </is>
      </c>
      <c r="H50" t="inlineStr">
        <is>
          <t>P0</t>
        </is>
      </c>
      <c r="I50" t="inlineStr">
        <is>
          <t>API</t>
        </is>
      </c>
      <c r="J50" t="inlineStr">
        <is>
          <t>Automated</t>
        </is>
      </c>
      <c r="K50" t="inlineStr">
        <is>
          <t>PASS</t>
        </is>
      </c>
      <c r="L50" t="inlineStr">
        <is>
          <t>formatted with hyphens: CREATE 201; stored *********0000 (canonical 628…: true)</t>
        </is>
      </c>
      <c r="M50" t="inlineStr">
        <is>
          <t>phone-api-runner on disposable MySQL 8.4 (phone_api); real HTTP CREATE/PATCH; synthetic numbers</t>
        </is>
      </c>
      <c r="N50" t="inlineStr">
        <is>
          <t>2026-09-04</t>
        </is>
      </c>
      <c r="O50" t="inlineStr">
        <is>
          <t>Behaviour matches the locked mobile-only + canonical 628 contract.</t>
        </is>
      </c>
    </row>
    <row r="51">
      <c r="A51" t="inlineStr">
        <is>
          <t>PHONE-020</t>
        </is>
      </c>
      <c r="B51" t="inlineStr">
        <is>
          <t>Phone QA</t>
        </is>
      </c>
      <c r="C51" t="inlineStr">
        <is>
          <t>Address</t>
        </is>
      </c>
      <c r="D51" t="inlineStr">
        <is>
          <t>Landline is rejected</t>
        </is>
      </c>
      <c r="E51" t="inlineStr">
        <is>
          <t>Authenticated customer; mobile-only contract</t>
        </is>
      </c>
      <c r="F51" t="inlineStr">
        <is>
          <t>CREATE address with a Jakarta landline</t>
        </is>
      </c>
      <c r="G51" t="inlineStr">
        <is>
          <t>400; nothing persisted</t>
        </is>
      </c>
      <c r="H51" t="inlineStr">
        <is>
          <t>P0</t>
        </is>
      </c>
      <c r="I51" t="inlineStr">
        <is>
          <t>API</t>
        </is>
      </c>
      <c r="J51" t="inlineStr">
        <is>
          <t>Automated</t>
        </is>
      </c>
      <c r="K51" t="inlineStr">
        <is>
          <t>PASS</t>
        </is>
      </c>
      <c r="L51" t="inlineStr">
        <is>
          <t>Jakarta landline: CREATE 400; address rows 4 -&gt; 4 (nothing persisted: true)</t>
        </is>
      </c>
      <c r="M51" t="inlineStr">
        <is>
          <t>phone-api-runner on disposable MySQL 8.4 (phone_api); real HTTP CREATE/PATCH; synthetic numbers</t>
        </is>
      </c>
      <c r="N51" t="inlineStr">
        <is>
          <t>2026-09-04</t>
        </is>
      </c>
      <c r="O51" t="inlineStr">
        <is>
          <t>Behaviour matches the locked mobile-only + canonical 628 contract.</t>
        </is>
      </c>
    </row>
    <row r="52">
      <c r="A52" t="inlineStr">
        <is>
          <t>PHONE-021</t>
        </is>
      </c>
      <c r="B52" t="inlineStr">
        <is>
          <t>Phone QA</t>
        </is>
      </c>
      <c r="C52" t="inlineStr">
        <is>
          <t>Address</t>
        </is>
      </c>
      <c r="D52" t="inlineStr">
        <is>
          <t>Foreign phone number is rejected</t>
        </is>
      </c>
      <c r="E52" t="inlineStr">
        <is>
          <t>Authenticated customer</t>
        </is>
      </c>
      <c r="F52" t="inlineStr">
        <is>
          <t>CREATE address with a US number</t>
        </is>
      </c>
      <c r="G52" t="inlineStr">
        <is>
          <t>400; nothing persisted</t>
        </is>
      </c>
      <c r="H52" t="inlineStr">
        <is>
          <t>P0</t>
        </is>
      </c>
      <c r="I52" t="inlineStr">
        <is>
          <t>API</t>
        </is>
      </c>
      <c r="J52" t="inlineStr">
        <is>
          <t>Automated</t>
        </is>
      </c>
      <c r="K52" t="inlineStr">
        <is>
          <t>PASS</t>
        </is>
      </c>
      <c r="L52" t="inlineStr">
        <is>
          <t>foreign (US) number: CREATE 400; address rows 4 -&gt; 4 (nothing persisted: true)</t>
        </is>
      </c>
      <c r="M52" t="inlineStr">
        <is>
          <t>phone-api-runner on disposable MySQL 8.4 (phone_api); real HTTP CREATE/PATCH; synthetic numbers</t>
        </is>
      </c>
      <c r="N52" t="inlineStr">
        <is>
          <t>2026-09-04</t>
        </is>
      </c>
      <c r="O52" t="inlineStr">
        <is>
          <t>Behaviour matches the locked mobile-only + canonical 628 contract.</t>
        </is>
      </c>
    </row>
    <row r="53">
      <c r="A53" t="inlineStr">
        <is>
          <t>PHONE-022</t>
        </is>
      </c>
      <c r="B53" t="inlineStr">
        <is>
          <t>Phone QA</t>
        </is>
      </c>
      <c r="C53" t="inlineStr">
        <is>
          <t>Address</t>
        </is>
      </c>
      <c r="D53" t="inlineStr">
        <is>
          <t>Alphabetic garbage is rejected</t>
        </is>
      </c>
      <c r="E53" t="inlineStr">
        <is>
          <t>Authenticated customer</t>
        </is>
      </c>
      <c r="F53" t="inlineStr">
        <is>
          <t>CREATE address with phone abcdefghij</t>
        </is>
      </c>
      <c r="G53" t="inlineStr">
        <is>
          <t>400; nothing persisted</t>
        </is>
      </c>
      <c r="H53" t="inlineStr">
        <is>
          <t>P0</t>
        </is>
      </c>
      <c r="I53" t="inlineStr">
        <is>
          <t>API</t>
        </is>
      </c>
      <c r="J53" t="inlineStr">
        <is>
          <t>Automated</t>
        </is>
      </c>
      <c r="K53" t="inlineStr">
        <is>
          <t>PASS</t>
        </is>
      </c>
      <c r="L53" t="inlineStr">
        <is>
          <t>alphabetic garbage: CREATE 400; address rows 4 -&gt; 4 (nothing persisted: true)</t>
        </is>
      </c>
      <c r="M53" t="inlineStr">
        <is>
          <t>phone-api-runner on disposable MySQL 8.4 (phone_api); real HTTP CREATE/PATCH; synthetic numbers</t>
        </is>
      </c>
      <c r="N53" t="inlineStr">
        <is>
          <t>2026-09-04</t>
        </is>
      </c>
      <c r="O53" t="inlineStr">
        <is>
          <t>Behaviour matches the locked mobile-only + canonical 628 contract.</t>
        </is>
      </c>
    </row>
    <row r="54">
      <c r="A54" t="inlineStr">
        <is>
          <t>PHONE-023</t>
        </is>
      </c>
      <c r="B54" t="inlineStr">
        <is>
          <t>Phone QA</t>
        </is>
      </c>
      <c r="C54" t="inlineStr">
        <is>
          <t>Address</t>
        </is>
      </c>
      <c r="D54" t="inlineStr">
        <is>
          <t>Mixed alphanumeric phone is rejected</t>
        </is>
      </c>
      <c r="E54" t="inlineStr">
        <is>
          <t>Authenticated customer</t>
        </is>
      </c>
      <c r="F54" t="inlineStr">
        <is>
          <t>CREATE address with mixed alphanumeric phone</t>
        </is>
      </c>
      <c r="G54" t="inlineStr">
        <is>
          <t>400; nothing persisted</t>
        </is>
      </c>
      <c r="H54" t="inlineStr">
        <is>
          <t>P0</t>
        </is>
      </c>
      <c r="I54" t="inlineStr">
        <is>
          <t>API</t>
        </is>
      </c>
      <c r="J54" t="inlineStr">
        <is>
          <t>Automated</t>
        </is>
      </c>
      <c r="K54" t="inlineStr">
        <is>
          <t>PASS</t>
        </is>
      </c>
      <c r="L54" t="inlineStr">
        <is>
          <t>mixed alphanumeric: CREATE 400; address rows 4 -&gt; 4 (nothing persisted: true)</t>
        </is>
      </c>
      <c r="M54" t="inlineStr">
        <is>
          <t>phone-api-runner on disposable MySQL 8.4 (phone_api); real HTTP CREATE/PATCH; synthetic numbers</t>
        </is>
      </c>
      <c r="N54" t="inlineStr">
        <is>
          <t>2026-09-04</t>
        </is>
      </c>
      <c r="O54" t="inlineStr">
        <is>
          <t>Behaviour matches the locked mobile-only + canonical 628 contract.</t>
        </is>
      </c>
    </row>
    <row r="55">
      <c r="A55" t="inlineStr">
        <is>
          <t>PHONE-024</t>
        </is>
      </c>
      <c r="B55" t="inlineStr">
        <is>
          <t>Phone QA</t>
        </is>
      </c>
      <c r="C55" t="inlineStr">
        <is>
          <t>Address</t>
        </is>
      </c>
      <c r="D55" t="inlineStr">
        <is>
          <t>Malformed +62 phone is rejected</t>
        </is>
      </c>
      <c r="E55" t="inlineStr">
        <is>
          <t>Authenticated customer</t>
        </is>
      </c>
      <c r="F55" t="inlineStr">
        <is>
          <t>CREATE address with phone +62abc1234567</t>
        </is>
      </c>
      <c r="G55" t="inlineStr">
        <is>
          <t>400; nothing persisted</t>
        </is>
      </c>
      <c r="H55" t="inlineStr">
        <is>
          <t>P0</t>
        </is>
      </c>
      <c r="I55" t="inlineStr">
        <is>
          <t>API</t>
        </is>
      </c>
      <c r="J55" t="inlineStr">
        <is>
          <t>Automated</t>
        </is>
      </c>
      <c r="K55" t="inlineStr">
        <is>
          <t>PASS</t>
        </is>
      </c>
      <c r="L55" t="inlineStr">
        <is>
          <t>malformed +62: CREATE 400; address rows 4 -&gt; 4 (nothing persisted: true)</t>
        </is>
      </c>
      <c r="M55" t="inlineStr">
        <is>
          <t>phone-api-runner on disposable MySQL 8.4 (phone_api); real HTTP CREATE/PATCH; synthetic numbers</t>
        </is>
      </c>
      <c r="N55" t="inlineStr">
        <is>
          <t>2026-09-04</t>
        </is>
      </c>
      <c r="O55" t="inlineStr">
        <is>
          <t>Behaviour matches the locked mobile-only + canonical 628 contract.</t>
        </is>
      </c>
    </row>
    <row r="56">
      <c r="A56" t="inlineStr">
        <is>
          <t>PHONE-025</t>
        </is>
      </c>
      <c r="B56" t="inlineStr">
        <is>
          <t>Phone QA</t>
        </is>
      </c>
      <c r="C56" t="inlineStr">
        <is>
          <t>Address</t>
        </is>
      </c>
      <c r="D56" t="inlineStr">
        <is>
          <t>CREATE persists canonical 628 format</t>
        </is>
      </c>
      <c r="E56" t="inlineStr">
        <is>
          <t>Authenticated customer</t>
        </is>
      </c>
      <c r="F56" t="inlineStr">
        <is>
          <t>CREATE with a formatted mobile and read the stored row</t>
        </is>
      </c>
      <c r="G56" t="inlineStr">
        <is>
          <t>Stored value is digits-only and starts 628</t>
        </is>
      </c>
      <c r="H56" t="inlineStr">
        <is>
          <t>P0</t>
        </is>
      </c>
      <c r="I56" t="inlineStr">
        <is>
          <t>API</t>
        </is>
      </c>
      <c r="J56" t="inlineStr">
        <is>
          <t>Automated</t>
        </is>
      </c>
      <c r="K56" t="inlineStr">
        <is>
          <t>PASS</t>
        </is>
      </c>
      <c r="L56" t="inlineStr">
        <is>
          <t>CREATE 201; stored *********0000 — digits only, starts 628: true</t>
        </is>
      </c>
      <c r="M56" t="inlineStr">
        <is>
          <t>phone-api-runner on disposable MySQL 8.4 (phone_api); real HTTP CREATE/PATCH; synthetic numbers</t>
        </is>
      </c>
      <c r="N56" t="inlineStr">
        <is>
          <t>2026-09-04</t>
        </is>
      </c>
      <c r="O56" t="inlineStr">
        <is>
          <t>Behaviour matches the locked mobile-only + canonical 628 contract.</t>
        </is>
      </c>
    </row>
    <row r="57">
      <c r="A57" t="inlineStr">
        <is>
          <t>PHONE-026</t>
        </is>
      </c>
      <c r="B57" t="inlineStr">
        <is>
          <t>Phone QA</t>
        </is>
      </c>
      <c r="C57" t="inlineStr">
        <is>
          <t>Address</t>
        </is>
      </c>
      <c r="D57" t="inlineStr">
        <is>
          <t>PATCH persists canonical 628 format</t>
        </is>
      </c>
      <c r="E57" t="inlineStr">
        <is>
          <t>Address exists</t>
        </is>
      </c>
      <c r="F57" t="inlineStr">
        <is>
          <t>PATCH phone with +62 812 0000 0000</t>
        </is>
      </c>
      <c r="G57" t="inlineStr">
        <is>
          <t>200; stored value canonical 628…</t>
        </is>
      </c>
      <c r="H57" t="inlineStr">
        <is>
          <t>P0</t>
        </is>
      </c>
      <c r="I57" t="inlineStr">
        <is>
          <t>API</t>
        </is>
      </c>
      <c r="J57" t="inlineStr">
        <is>
          <t>Automated</t>
        </is>
      </c>
      <c r="K57" t="inlineStr">
        <is>
          <t>PASS</t>
        </is>
      </c>
      <c r="L57" t="inlineStr">
        <is>
          <t>PATCH 200; stored *********0000 (canonical: true)</t>
        </is>
      </c>
      <c r="M57" t="inlineStr">
        <is>
          <t>phone-api-runner on disposable MySQL 8.4 (phone_api); real HTTP CREATE/PATCH; synthetic numbers</t>
        </is>
      </c>
      <c r="N57" t="inlineStr">
        <is>
          <t>2026-09-04</t>
        </is>
      </c>
      <c r="O57" t="inlineStr">
        <is>
          <t>Behaviour matches the locked mobile-only + canonical 628 contract.</t>
        </is>
      </c>
    </row>
    <row r="58">
      <c r="A58" t="inlineStr">
        <is>
          <t>PHONE-027</t>
        </is>
      </c>
      <c r="B58" t="inlineStr">
        <is>
          <t>Phone QA</t>
        </is>
      </c>
      <c r="C58" t="inlineStr">
        <is>
          <t>Address</t>
        </is>
      </c>
      <c r="D58" t="inlineStr">
        <is>
          <t>CREATE direct API cannot bypass phone validation</t>
        </is>
      </c>
      <c r="E58" t="inlineStr">
        <is>
          <t>Authenticated customer; no frontend involved</t>
        </is>
      </c>
      <c r="F58" t="inlineStr">
        <is>
          <t>POST invalid phones straight to the API</t>
        </is>
      </c>
      <c r="G58" t="inlineStr">
        <is>
          <t>400 for every invalid form; nothing persisted</t>
        </is>
      </c>
      <c r="H58" t="inlineStr">
        <is>
          <t>P0</t>
        </is>
      </c>
      <c r="I58" t="inlineStr">
        <is>
          <t>API</t>
        </is>
      </c>
      <c r="J58" t="inlineStr">
        <is>
          <t>Automated</t>
        </is>
      </c>
      <c r="K58" t="inlineStr">
        <is>
          <t>PASS</t>
        </is>
      </c>
      <c r="L58" t="inlineStr">
        <is>
          <t>CREATE statuses 400,400,400,400; rows 5 -&gt; 5 — no frontend involved</t>
        </is>
      </c>
      <c r="M58" t="inlineStr">
        <is>
          <t>phone-api-runner on disposable MySQL 8.4 (phone_api); real HTTP CREATE/PATCH; synthetic numbers</t>
        </is>
      </c>
      <c r="N58" t="inlineStr">
        <is>
          <t>2026-09-04</t>
        </is>
      </c>
      <c r="O58" t="inlineStr">
        <is>
          <t>Behaviour matches the locked mobile-only + canonical 628 contract.</t>
        </is>
      </c>
    </row>
    <row r="59">
      <c r="A59" t="inlineStr">
        <is>
          <t>PHONE-028</t>
        </is>
      </c>
      <c r="B59" t="inlineStr">
        <is>
          <t>Phone QA</t>
        </is>
      </c>
      <c r="C59" t="inlineStr">
        <is>
          <t>Address</t>
        </is>
      </c>
      <c r="D59" t="inlineStr">
        <is>
          <t>PATCH direct API cannot bypass phone validation</t>
        </is>
      </c>
      <c r="E59" t="inlineStr">
        <is>
          <t>Address exists; no frontend involved</t>
        </is>
      </c>
      <c r="F59" t="inlineStr">
        <is>
          <t>PATCH invalid phones straight to the API</t>
        </is>
      </c>
      <c r="G59" t="inlineStr">
        <is>
          <t>400 for every invalid form; stored value unchanged</t>
        </is>
      </c>
      <c r="H59" t="inlineStr">
        <is>
          <t>P0</t>
        </is>
      </c>
      <c r="I59" t="inlineStr">
        <is>
          <t>API</t>
        </is>
      </c>
      <c r="J59" t="inlineStr">
        <is>
          <t>Automated</t>
        </is>
      </c>
      <c r="K59" t="inlineStr">
        <is>
          <t>PASS</t>
        </is>
      </c>
      <c r="L59" t="inlineStr">
        <is>
          <t>PATCH statuses 400,400,400,400; stored unchanged: true</t>
        </is>
      </c>
      <c r="M59" t="inlineStr">
        <is>
          <t>phone-api-runner on disposable MySQL 8.4 (phone_api); real HTTP CREATE/PATCH; synthetic numbers</t>
        </is>
      </c>
      <c r="N59" t="inlineStr">
        <is>
          <t>2026-09-04</t>
        </is>
      </c>
      <c r="O59" t="inlineStr">
        <is>
          <t>Behaviour matches the locked mobile-only + canonical 628 contract.</t>
        </is>
      </c>
    </row>
    <row r="60">
      <c r="A60" t="inlineStr">
        <is>
          <t>PHONE-029</t>
        </is>
      </c>
      <c r="B60" t="inlineStr">
        <is>
          <t>Phone QA</t>
        </is>
      </c>
      <c r="C60" t="inlineStr">
        <is>
          <t>Address</t>
        </is>
      </c>
      <c r="D60" t="inlineStr">
        <is>
          <t>Frontend phone input is mobile-oriented</t>
        </is>
      </c>
      <c r="E60" t="inlineStr">
        <is>
          <t>Address form rendered</t>
        </is>
      </c>
      <c r="F60" t="inlineStr">
        <is>
          <t>Inspect the phone input and use it in a real browser</t>
        </is>
      </c>
      <c r="G60" t="inlineStr">
        <is>
          <t>type=tel, inputMode=numeric, autoComplete=tel, Indonesian mobile placeholder</t>
        </is>
      </c>
      <c r="H60" t="inlineStr">
        <is>
          <t>P1</t>
        </is>
      </c>
      <c r="I60" t="inlineStr">
        <is>
          <t>Browser</t>
        </is>
      </c>
      <c r="J60" t="inlineStr">
        <is>
          <t>Automated</t>
        </is>
      </c>
      <c r="K60" t="inlineStr">
        <is>
          <t>PASS</t>
        </is>
      </c>
      <c r="L60" t="inlineStr">
        <is>
          <t>Address form renders type=tel, inputMode=numeric, autoComplete=tel, placeholder 0812-3456-7890; the field was typed into successfully by Playwright GEO-001 in real Chromium.</t>
        </is>
      </c>
      <c r="M60" t="inlineStr">
        <is>
          <t>frontend components/account/address-form.tsx + lib/address/phone.ts; frontend suite 96/96</t>
        </is>
      </c>
      <c r="N60" t="inlineStr">
        <is>
          <t>2026-09-04</t>
        </is>
      </c>
      <c r="O60" t="inlineStr">
        <is>
          <t>Onboarding already used type=tel; the two forms now agree.</t>
        </is>
      </c>
    </row>
    <row r="61">
      <c r="A61" t="inlineStr">
        <is>
          <t>PHONE-030</t>
        </is>
      </c>
      <c r="B61" t="inlineStr">
        <is>
          <t>Phone QA</t>
        </is>
      </c>
      <c r="C61" t="inlineStr">
        <is>
          <t>Address</t>
        </is>
      </c>
      <c r="D61" t="inlineStr">
        <is>
          <t>Frontend paste accepts supported input formats</t>
        </is>
      </c>
      <c r="E61" t="inlineStr">
        <is>
          <t>Address form rendered</t>
        </is>
      </c>
      <c r="F61" t="inlineStr">
        <is>
          <t>Paste 08…, +62…, 62…, and separator-formatted values</t>
        </is>
      </c>
      <c r="G61" t="inlineStr">
        <is>
          <t>All fold to one display shape the backend accepts</t>
        </is>
      </c>
      <c r="H61" t="inlineStr">
        <is>
          <t>P2</t>
        </is>
      </c>
      <c r="I61" t="inlineStr">
        <is>
          <t>Browser</t>
        </is>
      </c>
      <c r="J61" t="inlineStr">
        <is>
          <t>Automated</t>
        </is>
      </c>
      <c r="K61" t="inlineStr">
        <is>
          <t>NOT_RUN</t>
        </is>
      </c>
      <c r="O61" t="inlineStr">
        <is>
          <t>Formatter paste shapes are unit-tested (+62/62/bare-8/spaces/hyphens all fold to 0812-3456-7890), but no browser paste event was fired in this phase.</t>
        </is>
      </c>
    </row>
    <row r="62">
      <c r="A62" t="inlineStr">
        <is>
          <t>PHONE-031</t>
        </is>
      </c>
      <c r="B62" t="inlineStr">
        <is>
          <t>Phone QA</t>
        </is>
      </c>
      <c r="C62" t="inlineStr">
        <is>
          <t>Address</t>
        </is>
      </c>
      <c r="D62" t="inlineStr">
        <is>
          <t>Frontend submits normalized-compatible phone data</t>
        </is>
      </c>
      <c r="E62" t="inlineStr">
        <is>
          <t>Address form rendered</t>
        </is>
      </c>
      <c r="F62" t="inlineStr">
        <is>
          <t>Fill the form in a real browser and submit</t>
        </is>
      </c>
      <c r="G62" t="inlineStr">
        <is>
          <t>Backend accepts the submitted value and stores it canonically</t>
        </is>
      </c>
      <c r="H62" t="inlineStr">
        <is>
          <t>P0</t>
        </is>
      </c>
      <c r="I62" t="inlineStr">
        <is>
          <t>Browser</t>
        </is>
      </c>
      <c r="J62" t="inlineStr">
        <is>
          <t>Automated</t>
        </is>
      </c>
      <c r="K62" t="inlineStr">
        <is>
          <t>PASS</t>
        </is>
      </c>
      <c r="L62" t="inlineStr">
        <is>
          <t>GEO-001 filled the real form and created an address on the isolated stack; the strict backend accepted the submitted value, so what the formatter produced is normalization-compatible by construction.</t>
        </is>
      </c>
      <c r="M62" t="inlineStr">
        <is>
          <t>Playwright GEO-001 on the repository-owned isolated stack</t>
        </is>
      </c>
      <c r="N62" t="inlineStr">
        <is>
          <t>2026-09-04</t>
        </is>
      </c>
      <c r="O62" t="inlineStr">
        <is>
          <t>A non-compliant value would have been refused with 400 and failed GEO-001.</t>
        </is>
      </c>
    </row>
    <row r="63">
      <c r="A63" t="inlineStr">
        <is>
          <t>PHONE-032</t>
        </is>
      </c>
      <c r="B63" t="inlineStr">
        <is>
          <t>Phone QA</t>
        </is>
      </c>
      <c r="C63" t="inlineStr">
        <is>
          <t>Address</t>
        </is>
      </c>
      <c r="D63" t="inlineStr">
        <is>
          <t>Mekari Qontak/WhatsApp recipient receives canonical 628 format</t>
        </is>
      </c>
      <c r="E63" t="inlineStr">
        <is>
          <t>Address with a canonical phone; mock transport only</t>
        </is>
      </c>
      <c r="F63" t="inlineStr">
        <is>
          <t>Apply the notification builder's normalization to the stored phone</t>
        </is>
      </c>
      <c r="G63" t="inlineStr">
        <is>
          <t>Recipient is canonical 628…, digits only, no +/space/hyphen</t>
        </is>
      </c>
      <c r="H63" t="inlineStr">
        <is>
          <t>P0</t>
        </is>
      </c>
      <c r="I63" t="inlineStr">
        <is>
          <t>API</t>
        </is>
      </c>
      <c r="J63" t="inlineStr">
        <is>
          <t>Automated</t>
        </is>
      </c>
      <c r="K63" t="inlineStr">
        <is>
          <t>PASS</t>
        </is>
      </c>
      <c r="L63" t="inlineStr">
        <is>
          <t>WhatsApp recipient *********0000 == stored *********0000: true; matches ^628[0-9]+$: true; no +, spaces or hyphens</t>
        </is>
      </c>
      <c r="M63" t="inlineStr">
        <is>
          <t>normalizePhoneNumber() applied to the stored value, as notification-message.builder.ts does; real Qontak calls 0</t>
        </is>
      </c>
      <c r="N63" t="inlineStr">
        <is>
          <t>2026-09-04</t>
        </is>
      </c>
      <c r="O63" t="inlineStr">
        <is>
          <t>Behaviour matches the locked mobile-only + canonical 628 contract.</t>
        </is>
      </c>
    </row>
    <row r="64">
      <c r="A64" t="inlineStr">
        <is>
          <t>PHONE-033</t>
        </is>
      </c>
      <c r="B64" t="inlineStr">
        <is>
          <t>Phone QA</t>
        </is>
      </c>
      <c r="C64" t="inlineStr">
        <is>
          <t>Address</t>
        </is>
      </c>
      <c r="D64" t="inlineStr">
        <is>
          <t>Courier recipient phone receives canonical 628 format</t>
        </is>
      </c>
      <c r="E64" t="inlineStr">
        <is>
          <t>Address with a canonical phone; no real courier call</t>
        </is>
      </c>
      <c r="F64" t="inlineStr">
        <is>
          <t>Inspect the phone the shipment payload carries</t>
        </is>
      </c>
      <c r="G64" t="inlineStr">
        <is>
          <t>Courier receives the canonical 628… value</t>
        </is>
      </c>
      <c r="H64" t="inlineStr">
        <is>
          <t>P0</t>
        </is>
      </c>
      <c r="I64" t="inlineStr">
        <is>
          <t>API</t>
        </is>
      </c>
      <c r="J64" t="inlineStr">
        <is>
          <t>Automated</t>
        </is>
      </c>
      <c r="K64" t="inlineStr">
        <is>
          <t>PASS</t>
        </is>
      </c>
      <c r="L64" t="inlineStr">
        <is>
          <t>courier destination.phone = stored address phone *********0000; canonical 628 digits-only: true</t>
        </is>
      </c>
      <c r="M64" t="inlineStr">
        <is>
          <t>shipment.service.ts:232 passes order.address.phone verbatim; real courier calls 0</t>
        </is>
      </c>
      <c r="N64" t="inlineStr">
        <is>
          <t>2026-09-04</t>
        </is>
      </c>
      <c r="O64" t="inlineStr">
        <is>
          <t>Behaviour matches the locked mobile-only + canonical 628 contract.</t>
        </is>
      </c>
    </row>
    <row r="65">
      <c r="A65" t="inlineStr">
        <is>
          <t>PHONE-034</t>
        </is>
      </c>
      <c r="B65" t="inlineStr">
        <is>
          <t>Phone QA</t>
        </is>
      </c>
      <c r="C65" t="inlineStr">
        <is>
          <t>Address</t>
        </is>
      </c>
      <c r="D65" t="inlineStr">
        <is>
          <t>Phone-only PATCH does not trigger geocoding</t>
        </is>
      </c>
      <c r="E65" t="inlineStr">
        <is>
          <t>Address with valid coordinates</t>
        </is>
      </c>
      <c r="F65" t="inlineStr">
        <is>
          <t>PATCH phone only</t>
        </is>
      </c>
      <c r="G65" t="inlineStr">
        <is>
          <t>200; zero Google calls; coordinates unchanged</t>
        </is>
      </c>
      <c r="H65" t="inlineStr">
        <is>
          <t>P0</t>
        </is>
      </c>
      <c r="I65" t="inlineStr">
        <is>
          <t>API</t>
        </is>
      </c>
      <c r="J65" t="inlineStr">
        <is>
          <t>Automated</t>
        </is>
      </c>
      <c r="K65" t="inlineStr">
        <is>
          <t>PASS</t>
        </is>
      </c>
      <c r="L65" t="inlineStr">
        <is>
          <t>PATCH 200; Google calls 0; coordinates unchanged: true</t>
        </is>
      </c>
      <c r="M65" t="inlineStr">
        <is>
          <t>phone-api-runner on disposable MySQL 8.4 (phone_api); real HTTP CREATE/PATCH; synthetic numbers</t>
        </is>
      </c>
      <c r="N65" t="inlineStr">
        <is>
          <t>2026-09-04</t>
        </is>
      </c>
      <c r="O65" t="inlineStr">
        <is>
          <t>Behaviour matches the locked mobile-only + canonical 628 contract.</t>
        </is>
      </c>
    </row>
    <row r="66">
      <c r="A66" t="inlineStr">
        <is>
          <t>PHONE-035</t>
        </is>
      </c>
      <c r="B66" t="inlineStr">
        <is>
          <t>Phone QA</t>
        </is>
      </c>
      <c r="C66" t="inlineStr">
        <is>
          <t>Address</t>
        </is>
      </c>
      <c r="D66" t="inlineStr">
        <is>
          <t>Existing valid canonical phone remains unchanged</t>
        </is>
      </c>
      <c r="E66" t="inlineStr">
        <is>
          <t>Address with canonical phone</t>
        </is>
      </c>
      <c r="F66" t="inlineStr">
        <is>
          <t>Re-submit the canonical value, then PATCH an unrelated field</t>
        </is>
      </c>
      <c r="G66" t="inlineStr">
        <is>
          <t>Stored phone unchanged in both cases</t>
        </is>
      </c>
      <c r="H66" t="inlineStr">
        <is>
          <t>P1</t>
        </is>
      </c>
      <c r="I66" t="inlineStr">
        <is>
          <t>API</t>
        </is>
      </c>
      <c r="J66" t="inlineStr">
        <is>
          <t>Automated</t>
        </is>
      </c>
      <c r="K66" t="inlineStr">
        <is>
          <t>PASS</t>
        </is>
      </c>
      <c r="L66" t="inlineStr">
        <is>
          <t>re-submitting the canonical value stores *********0000 unchanged; a label-only PATCH leaves it at *********0000</t>
        </is>
      </c>
      <c r="M66" t="inlineStr">
        <is>
          <t>phone-api-runner on disposable MySQL 8.4 (phone_api); real HTTP CREATE/PATCH; synthetic numbers</t>
        </is>
      </c>
      <c r="N66" t="inlineStr">
        <is>
          <t>2026-09-04</t>
        </is>
      </c>
      <c r="O66" t="inlineStr">
        <is>
          <t>Behaviour matches the locked mobile-only + canonical 628 contract.</t>
        </is>
      </c>
    </row>
    <row r="67">
      <c r="A67" t="inlineStr">
        <is>
          <t>PHONE-036</t>
        </is>
      </c>
      <c r="B67" t="inlineStr">
        <is>
          <t>Phone QA</t>
        </is>
      </c>
      <c r="C67" t="inlineStr">
        <is>
          <t>Address</t>
        </is>
      </c>
      <c r="D67" t="inlineStr">
        <is>
          <t>Existing non-canonical valid phone migration classification</t>
        </is>
      </c>
      <c r="E67" t="inlineStr">
        <is>
          <t>Shared dev DB; READ-ONLY</t>
        </is>
      </c>
      <c r="F67" t="inlineStr">
        <is>
          <t>Classify every existing Address.phone value</t>
        </is>
      </c>
      <c r="G67" t="inlineStr">
        <is>
          <t>Counts by class A/B/C/D/E reported; no mutation</t>
        </is>
      </c>
      <c r="H67" t="inlineStr">
        <is>
          <t>P1</t>
        </is>
      </c>
      <c r="I67" t="inlineStr">
        <is>
          <t>Audit</t>
        </is>
      </c>
      <c r="J67" t="inlineStr">
        <is>
          <t>Automated</t>
        </is>
      </c>
      <c r="K67" t="inlineStr">
        <is>
          <t>PASS</t>
        </is>
      </c>
      <c r="L67" t="inlineStr">
        <is>
          <t>7 rows: A already-canonical 0; B valid mobile non-canonical 6; C landline 0; D malformed 1; E unknown 0.</t>
        </is>
      </c>
      <c r="M67" t="inlineStr">
        <is>
          <t>Read-only classification of the shared dev DB; values masked; zero writes</t>
        </is>
      </c>
      <c r="N67" t="inlineStr">
        <is>
          <t>2026-09-04</t>
        </is>
      </c>
      <c r="O67" t="inlineStr">
        <is>
          <t>Backfill required for the 6 class-B rows; 1 class-D row cannot be normalized and needs a data owner decision. Deferred to a separate migration phase.</t>
        </is>
      </c>
    </row>
    <row r="68">
      <c r="A68" t="inlineStr">
        <is>
          <t>PHONE-BF-001</t>
        </is>
      </c>
      <c r="B68" t="inlineStr">
        <is>
          <t>Phone Backfill</t>
        </is>
      </c>
      <c r="C68" t="inlineStr">
        <is>
          <t>Address</t>
        </is>
      </c>
      <c r="D68" t="inlineStr">
        <is>
          <t>Dry run is the default mode</t>
        </is>
      </c>
      <c r="E68" t="inlineStr">
        <is>
          <t>Backfill tool present; disposable DB seeded with 9 legacy rows</t>
        </is>
      </c>
      <c r="F68" t="inlineStr">
        <is>
          <t>Run the tool with no flags</t>
        </is>
      </c>
      <c r="G68" t="inlineStr">
        <is>
          <t>Full preview printed; ZERO rows written; every column of every row byte-identical</t>
        </is>
      </c>
      <c r="H68" t="inlineStr">
        <is>
          <t>P0</t>
        </is>
      </c>
      <c r="I68" t="inlineStr">
        <is>
          <t>Tool</t>
        </is>
      </c>
      <c r="J68" t="inlineStr">
        <is>
          <t>Automated</t>
        </is>
      </c>
      <c r="K68" t="inlineStr">
        <is>
          <t>PASS</t>
        </is>
      </c>
      <c r="L68" t="inlineStr">
        <is>
          <t>DRY RUN reported normalize=5 alreadyCanonical=1 quarantine=3 and wrote nothing; full-column diff before/after = {} (0 columns on 0 rows)</t>
        </is>
      </c>
      <c r="M68" t="inlineStr">
        <is>
          <t>normalize-address-phone.verify.ts on disposable MySQL 8.4 (e2e_phone_backfill); 9 synthetic fixtures; zero shared-DB access</t>
        </is>
      </c>
      <c r="N68" t="inlineStr">
        <is>
          <t>2026-09-04</t>
        </is>
      </c>
      <c r="O68" t="inlineStr">
        <is>
          <t>Safety default: mutating requires a deliberate flag, not the absence of one.</t>
        </is>
      </c>
    </row>
    <row r="69">
      <c r="A69" t="inlineStr">
        <is>
          <t>PHONE-BF-002</t>
        </is>
      </c>
      <c r="B69" t="inlineStr">
        <is>
          <t>Phone Backfill</t>
        </is>
      </c>
      <c r="C69" t="inlineStr">
        <is>
          <t>Address</t>
        </is>
      </c>
      <c r="D69" t="inlineStr">
        <is>
          <t>Mutation requires an explicit --apply flag</t>
        </is>
      </c>
      <c r="E69" t="inlineStr">
        <is>
          <t>Same disposable DB</t>
        </is>
      </c>
      <c r="F69" t="inlineStr">
        <is>
          <t>Run with --apply and confirm writes occur only then</t>
        </is>
      </c>
      <c r="G69" t="inlineStr">
        <is>
          <t>Rows are written only under --apply; the count is asserted and the run reports it</t>
        </is>
      </c>
      <c r="H69" t="inlineStr">
        <is>
          <t>P0</t>
        </is>
      </c>
      <c r="I69" t="inlineStr">
        <is>
          <t>Tool</t>
        </is>
      </c>
      <c r="J69" t="inlineStr">
        <is>
          <t>Automated</t>
        </is>
      </c>
      <c r="K69" t="inlineStr">
        <is>
          <t>PASS</t>
        </is>
      </c>
      <c r="L69" t="inlineStr">
        <is>
          <t>APPLY reported "applied: 5 row(s) updated"; affected-row count matched the 5 previewed rows exactly</t>
        </is>
      </c>
      <c r="M69" t="inlineStr">
        <is>
          <t>normalize-address-phone.verify.ts on disposable MySQL 8.4 (e2e_phone_backfill); 9 synthetic fixtures; zero shared-DB access</t>
        </is>
      </c>
      <c r="N69" t="inlineStr">
        <is>
          <t>2026-09-04</t>
        </is>
      </c>
      <c r="O69" t="inlineStr">
        <is>
          <t>Affected-row count is asserted inside the transaction; a mismatch rolls back.</t>
        </is>
      </c>
    </row>
    <row r="70">
      <c r="A70" t="inlineStr">
        <is>
          <t>PHONE-BF-003</t>
        </is>
      </c>
      <c r="B70" t="inlineStr">
        <is>
          <t>Phone Backfill</t>
        </is>
      </c>
      <c r="C70" t="inlineStr">
        <is>
          <t>Address</t>
        </is>
      </c>
      <c r="D70" t="inlineStr">
        <is>
          <t>National 08 form is normalised to canonical 628</t>
        </is>
      </c>
      <c r="E70" t="inlineStr">
        <is>
          <t>Row fx1 stores 0812xxxxxxx</t>
        </is>
      </c>
      <c r="F70" t="inlineStr">
        <is>
          <t>Apply the backfill; read the row back</t>
        </is>
      </c>
      <c r="G70" t="inlineStr">
        <is>
          <t>Stored value becomes canonical 628 digits-only</t>
        </is>
      </c>
      <c r="H70" t="inlineStr">
        <is>
          <t>P0</t>
        </is>
      </c>
      <c r="I70" t="inlineStr">
        <is>
          <t>Tool</t>
        </is>
      </c>
      <c r="J70" t="inlineStr">
        <is>
          <t>Automated</t>
        </is>
      </c>
      <c r="K70" t="inlineStr">
        <is>
          <t>PASS</t>
        </is>
      </c>
      <c r="L70" t="inlineStr">
        <is>
          <t>fx1 081****0001 -&gt; 628****0001; digits only, starts 628</t>
        </is>
      </c>
      <c r="M70" t="inlineStr">
        <is>
          <t>normalize-address-phone.verify.ts on disposable MySQL 8.4 (e2e_phone_backfill); 9 synthetic fixtures; zero shared-DB access</t>
        </is>
      </c>
      <c r="N70" t="inlineStr">
        <is>
          <t>2026-09-04</t>
        </is>
      </c>
      <c r="O70" t="inlineStr">
        <is>
          <t>Uses normalizeIndonesianMobile() — the same function the API contract enforces.</t>
        </is>
      </c>
    </row>
    <row r="71">
      <c r="A71" t="inlineStr">
        <is>
          <t>PHONE-BF-004</t>
        </is>
      </c>
      <c r="B71" t="inlineStr">
        <is>
          <t>Phone Backfill</t>
        </is>
      </c>
      <c r="C71" t="inlineStr">
        <is>
          <t>Address</t>
        </is>
      </c>
      <c r="D71" t="inlineStr">
        <is>
          <t>E.164 +62 form is normalised to canonical 628</t>
        </is>
      </c>
      <c r="E71" t="inlineStr">
        <is>
          <t>Rows fx2 and fx5 store +62 forms, one with spaces</t>
        </is>
      </c>
      <c r="F71" t="inlineStr">
        <is>
          <t>Apply the backfill; read the rows back</t>
        </is>
      </c>
      <c r="G71" t="inlineStr">
        <is>
          <t>Leading + and separators removed; value becomes canonical 628</t>
        </is>
      </c>
      <c r="H71" t="inlineStr">
        <is>
          <t>P0</t>
        </is>
      </c>
      <c r="I71" t="inlineStr">
        <is>
          <t>Tool</t>
        </is>
      </c>
      <c r="J71" t="inlineStr">
        <is>
          <t>Automated</t>
        </is>
      </c>
      <c r="K71" t="inlineStr">
        <is>
          <t>PASS</t>
        </is>
      </c>
      <c r="L71" t="inlineStr">
        <is>
          <t>fx2 +62****0002 -&gt; 628****0002; fx5 +62****0005 -&gt; 628****0005</t>
        </is>
      </c>
      <c r="M71" t="inlineStr">
        <is>
          <t>normalize-address-phone.verify.ts on disposable MySQL 8.4 (e2e_phone_backfill); 9 synthetic fixtures; zero shared-DB access</t>
        </is>
      </c>
      <c r="N71" t="inlineStr">
        <is>
          <t>2026-09-04</t>
        </is>
      </c>
    </row>
    <row r="72">
      <c r="A72" t="inlineStr">
        <is>
          <t>PHONE-BF-005</t>
        </is>
      </c>
      <c r="B72" t="inlineStr">
        <is>
          <t>Phone Backfill</t>
        </is>
      </c>
      <c r="C72" t="inlineStr">
        <is>
          <t>Address</t>
        </is>
      </c>
      <c r="D72" t="inlineStr">
        <is>
          <t>Bare subscriber (8xx) form is normalised</t>
        </is>
      </c>
      <c r="E72" t="inlineStr">
        <is>
          <t>Row fx3 stores 812xxxxxxx with no prefix</t>
        </is>
      </c>
      <c r="F72" t="inlineStr">
        <is>
          <t>Apply the backfill; read the row back</t>
        </is>
      </c>
      <c r="G72" t="inlineStr">
        <is>
          <t>Country code prepended; value becomes canonical 628</t>
        </is>
      </c>
      <c r="H72" t="inlineStr">
        <is>
          <t>P1</t>
        </is>
      </c>
      <c r="I72" t="inlineStr">
        <is>
          <t>Tool</t>
        </is>
      </c>
      <c r="J72" t="inlineStr">
        <is>
          <t>Automated</t>
        </is>
      </c>
      <c r="K72" t="inlineStr">
        <is>
          <t>PASS</t>
        </is>
      </c>
      <c r="L72" t="inlineStr">
        <is>
          <t>fx3 812****0003 -&gt; 628****0003</t>
        </is>
      </c>
      <c r="M72" t="inlineStr">
        <is>
          <t>normalize-address-phone.verify.ts on disposable MySQL 8.4 (e2e_phone_backfill); 9 synthetic fixtures; zero shared-DB access</t>
        </is>
      </c>
      <c r="N72" t="inlineStr">
        <is>
          <t>2026-09-04</t>
        </is>
      </c>
    </row>
    <row r="73">
      <c r="A73" t="inlineStr">
        <is>
          <t>PHONE-BF-006</t>
        </is>
      </c>
      <c r="B73" t="inlineStr">
        <is>
          <t>Phone Backfill</t>
        </is>
      </c>
      <c r="C73" t="inlineStr">
        <is>
          <t>Address</t>
        </is>
      </c>
      <c r="D73" t="inlineStr">
        <is>
          <t>Hyphen/space separators are stripped</t>
        </is>
      </c>
      <c r="E73" t="inlineStr">
        <is>
          <t>Row fx4 stores 0812-0000-0004</t>
        </is>
      </c>
      <c r="F73" t="inlineStr">
        <is>
          <t>Apply the backfill; read the row back</t>
        </is>
      </c>
      <c r="G73" t="inlineStr">
        <is>
          <t>Separators removed; value becomes canonical 628 digits-only</t>
        </is>
      </c>
      <c r="H73" t="inlineStr">
        <is>
          <t>P1</t>
        </is>
      </c>
      <c r="I73" t="inlineStr">
        <is>
          <t>Tool</t>
        </is>
      </c>
      <c r="J73" t="inlineStr">
        <is>
          <t>Automated</t>
        </is>
      </c>
      <c r="K73" t="inlineStr">
        <is>
          <t>PASS</t>
        </is>
      </c>
      <c r="L73" t="inlineStr">
        <is>
          <t>fx4 081****0004 -&gt; 628****0004</t>
        </is>
      </c>
      <c r="M73" t="inlineStr">
        <is>
          <t>normalize-address-phone.verify.ts on disposable MySQL 8.4 (e2e_phone_backfill); 9 synthetic fixtures; zero shared-DB access</t>
        </is>
      </c>
      <c r="N73" t="inlineStr">
        <is>
          <t>2026-09-04</t>
        </is>
      </c>
    </row>
    <row r="74">
      <c r="A74" t="inlineStr">
        <is>
          <t>PHONE-BF-007</t>
        </is>
      </c>
      <c r="B74" t="inlineStr">
        <is>
          <t>Phone Backfill</t>
        </is>
      </c>
      <c r="C74" t="inlineStr">
        <is>
          <t>Address</t>
        </is>
      </c>
      <c r="D74" t="inlineStr">
        <is>
          <t>Already-canonical row is left byte-identical</t>
        </is>
      </c>
      <c r="E74" t="inlineStr">
        <is>
          <t>Row fx6 already stores a canonical 628 value</t>
        </is>
      </c>
      <c r="F74" t="inlineStr">
        <is>
          <t>Apply the backfill; diff every column</t>
        </is>
      </c>
      <c r="G74" t="inlineStr">
        <is>
          <t>Row classified ALREADY_CANONICAL and not written at all</t>
        </is>
      </c>
      <c r="H74" t="inlineStr">
        <is>
          <t>P0</t>
        </is>
      </c>
      <c r="I74" t="inlineStr">
        <is>
          <t>Tool</t>
        </is>
      </c>
      <c r="J74" t="inlineStr">
        <is>
          <t>Automated</t>
        </is>
      </c>
      <c r="K74" t="inlineStr">
        <is>
          <t>PASS</t>
        </is>
      </c>
      <c r="L74" t="inlineStr">
        <is>
          <t>fx6 classified ALREADY_CANONICAL; row absent from the changed set — no write, updatedAt not bumped</t>
        </is>
      </c>
      <c r="M74" t="inlineStr">
        <is>
          <t>normalize-address-phone.verify.ts on disposable MySQL 8.4 (e2e_phone_backfill); 9 synthetic fixtures; zero shared-DB access</t>
        </is>
      </c>
      <c r="N74" t="inlineStr">
        <is>
          <t>2026-09-04</t>
        </is>
      </c>
      <c r="O74" t="inlineStr">
        <is>
          <t>A no-op row must not be rewritten, otherwise updatedAt churns for nothing.</t>
        </is>
      </c>
    </row>
    <row r="75">
      <c r="A75" t="inlineStr">
        <is>
          <t>PHONE-BF-008</t>
        </is>
      </c>
      <c r="B75" t="inlineStr">
        <is>
          <t>Phone Backfill</t>
        </is>
      </c>
      <c r="C75" t="inlineStr">
        <is>
          <t>Address</t>
        </is>
      </c>
      <c r="D75" t="inlineStr">
        <is>
          <t>Landline is quarantined, never guessed into a mobile</t>
        </is>
      </c>
      <c r="E75" t="inlineStr">
        <is>
          <t>Row fx7 stores a Jakarta landline 021xxxxxxx</t>
        </is>
      </c>
      <c r="F75" t="inlineStr">
        <is>
          <t>Apply the backfill; read the row back</t>
        </is>
      </c>
      <c r="G75" t="inlineStr">
        <is>
          <t>Row reported QUARANTINE with a landline reason; value untouched</t>
        </is>
      </c>
      <c r="H75" t="inlineStr">
        <is>
          <t>P0</t>
        </is>
      </c>
      <c r="I75" t="inlineStr">
        <is>
          <t>Tool</t>
        </is>
      </c>
      <c r="J75" t="inlineStr">
        <is>
          <t>Automated</t>
        </is>
      </c>
      <c r="K75" t="inlineStr">
        <is>
          <t>PASS</t>
        </is>
      </c>
      <c r="L75" t="inlineStr">
        <is>
          <t>fx7 021****4567 reported "valid Indonesian number but NOT a mobile (landline)"; stored value unchanged</t>
        </is>
      </c>
      <c r="M75" t="inlineStr">
        <is>
          <t>normalize-address-phone.verify.ts on disposable MySQL 8.4 (e2e_phone_backfill); 9 synthetic fixtures; zero shared-DB access</t>
        </is>
      </c>
      <c r="N75" t="inlineStr">
        <is>
          <t>2026-09-04</t>
        </is>
      </c>
      <c r="O75" t="inlineStr">
        <is>
          <t>There is no safe transformation from a landline to a mobile. Needs a data owner, not a script.</t>
        </is>
      </c>
    </row>
    <row r="76">
      <c r="A76" t="inlineStr">
        <is>
          <t>PHONE-BF-009</t>
        </is>
      </c>
      <c r="B76" t="inlineStr">
        <is>
          <t>Phone Backfill</t>
        </is>
      </c>
      <c r="C76" t="inlineStr">
        <is>
          <t>Address</t>
        </is>
      </c>
      <c r="D76" t="inlineStr">
        <is>
          <t>Malformed and foreign values are quarantined</t>
        </is>
      </c>
      <c r="E76" t="inlineStr">
        <is>
          <t>Rows fx8 (alphabetic garbage) and fx9 (US number)</t>
        </is>
      </c>
      <c r="F76" t="inlineStr">
        <is>
          <t>Apply the backfill; read the rows back</t>
        </is>
      </c>
      <c r="G76" t="inlineStr">
        <is>
          <t>Both reported QUARANTINE; values untouched; run still succeeds</t>
        </is>
      </c>
      <c r="H76" t="inlineStr">
        <is>
          <t>P0</t>
        </is>
      </c>
      <c r="I76" t="inlineStr">
        <is>
          <t>Tool</t>
        </is>
      </c>
      <c r="J76" t="inlineStr">
        <is>
          <t>Automated</t>
        </is>
      </c>
      <c r="K76" t="inlineStr">
        <is>
          <t>PASS</t>
        </is>
      </c>
      <c r="L76" t="inlineStr">
        <is>
          <t>fx8 and fx9 reported "cannot be normalised - malformed or foreign"; both stored values unchanged; quarantine count 3 before and after</t>
        </is>
      </c>
      <c r="M76" t="inlineStr">
        <is>
          <t>normalize-address-phone.verify.ts on disposable MySQL 8.4 (e2e_phone_backfill); 9 synthetic fixtures; zero shared-DB access</t>
        </is>
      </c>
      <c r="N76" t="inlineStr">
        <is>
          <t>2026-09-04</t>
        </is>
      </c>
      <c r="O76" t="inlineStr">
        <is>
          <t>Mirrors the one real class-D legacy row (2 digits, contains letters, no alternative source).</t>
        </is>
      </c>
    </row>
    <row r="77">
      <c r="A77" t="inlineStr">
        <is>
          <t>PHONE-BF-010</t>
        </is>
      </c>
      <c r="B77" t="inlineStr">
        <is>
          <t>Phone Backfill</t>
        </is>
      </c>
      <c r="C77" t="inlineStr">
        <is>
          <t>Address</t>
        </is>
      </c>
      <c r="D77" t="inlineStr">
        <is>
          <t>Field immutability: no column other than phone is touched</t>
        </is>
      </c>
      <c r="E77" t="inlineStr">
        <is>
          <t>All 19 Address columns snapshotted before and after</t>
        </is>
      </c>
      <c r="F77" t="inlineStr">
        <is>
          <t>Apply the backfill; diff every column of every row at millisecond precision</t>
        </is>
      </c>
      <c r="G77" t="inlineStr">
        <is>
          <t>Only phone (and the audit timestamp updatedAt) differ; no other column moves</t>
        </is>
      </c>
      <c r="H77" t="inlineStr">
        <is>
          <t>P0</t>
        </is>
      </c>
      <c r="I77" t="inlineStr">
        <is>
          <t>Tool</t>
        </is>
      </c>
      <c r="J77" t="inlineStr">
        <is>
          <t>Automated</t>
        </is>
      </c>
      <c r="K77" t="inlineStr">
        <is>
          <t>PASS</t>
        </is>
      </c>
      <c r="L77" t="inlineStr">
        <is>
          <t>Changed set = the 5 repaired rows, columns [phone, updatedAt] only. updatedAt BUMPED on 5/5 (e.g. 2026-09-04T06:29:23.755Z -&gt; .865Z). id/userId/label/recipientName/fullAddress/notes/latitude/longitude/isDefault/addressDetail/province/city/district/village/postalCode/createdAt/deletedAt all unchanged.</t>
        </is>
      </c>
      <c r="M77" t="inlineStr">
        <is>
          <t>normalize-address-phone.verify.ts on disposable MySQL 8.4 (e2e_phone_backfill); 9 synthetic fixtures; zero shared-DB access</t>
        </is>
      </c>
      <c r="N77" t="inlineStr">
        <is>
          <t>2026-09-04</t>
        </is>
      </c>
      <c r="O77" t="inlineStr">
        <is>
          <t>updatedAt IS bumped and is reported as such, not glossed over. Address.updatedAt has no ON UPDATE clause and nothing reads it (the CAS guards are on AdminRole and Shipment), so the bump is an honest audit trace rather than a hazard.</t>
        </is>
      </c>
    </row>
    <row r="78">
      <c r="A78" t="inlineStr">
        <is>
          <t>PHONE-BF-011</t>
        </is>
      </c>
      <c r="B78" t="inlineStr">
        <is>
          <t>Phone Backfill</t>
        </is>
      </c>
      <c r="C78" t="inlineStr">
        <is>
          <t>Address</t>
        </is>
      </c>
      <c r="D78" t="inlineStr">
        <is>
          <t>Backfill is idempotent</t>
        </is>
      </c>
      <c r="E78" t="inlineStr">
        <is>
          <t>Backfill already applied once</t>
        </is>
      </c>
      <c r="F78" t="inlineStr">
        <is>
          <t>Run the tool with --apply a second time</t>
        </is>
      </c>
      <c r="G78" t="inlineStr">
        <is>
          <t>Zero rows updated; no value changes; updatedAt not bumped again</t>
        </is>
      </c>
      <c r="H78" t="inlineStr">
        <is>
          <t>P0</t>
        </is>
      </c>
      <c r="I78" t="inlineStr">
        <is>
          <t>Tool</t>
        </is>
      </c>
      <c r="J78" t="inlineStr">
        <is>
          <t>Automated</t>
        </is>
      </c>
      <c r="K78" t="inlineStr">
        <is>
          <t>PASS</t>
        </is>
      </c>
      <c r="L78" t="inlineStr">
        <is>
          <t>Second APPLY reported normalize=0 alreadyCanonical=6 quarantine=3, "applied: 0 row(s) updated"; full-column diff vs the first apply = {}</t>
        </is>
      </c>
      <c r="M78" t="inlineStr">
        <is>
          <t>normalize-address-phone.verify.ts on disposable MySQL 8.4 (e2e_phone_backfill); 9 synthetic fixtures; zero shared-DB access</t>
        </is>
      </c>
      <c r="N78" t="inlineStr">
        <is>
          <t>2026-09-04</t>
        </is>
      </c>
      <c r="O78" t="inlineStr">
        <is>
          <t>Re-running after a partial or interrupted run is safe.</t>
        </is>
      </c>
    </row>
    <row r="79">
      <c r="A79" t="inlineStr">
        <is>
          <t>PHONE-BF-012</t>
        </is>
      </c>
      <c r="B79" t="inlineStr">
        <is>
          <t>Phone Backfill</t>
        </is>
      </c>
      <c r="C79" t="inlineStr">
        <is>
          <t>Address</t>
        </is>
      </c>
      <c r="D79" t="inlineStr">
        <is>
          <t>Write guard refuses production, shared dev and non-disposable targets</t>
        </is>
      </c>
      <c r="E79" t="inlineStr">
        <is>
          <t>Protected database names created inside the throwaway container</t>
        </is>
      </c>
      <c r="F79" t="inlineStr">
        <is>
          <t>Point the tool at mas_sular, u122587529_dev_ecommerce and ecommerce_staging with --apply; then set NODE_ENV=production</t>
        </is>
      </c>
      <c r="G79" t="inlineStr">
        <is>
          <t>Every attempt refuses before reading or writing a single row</t>
        </is>
      </c>
      <c r="H79" t="inlineStr">
        <is>
          <t>P0</t>
        </is>
      </c>
      <c r="I79" t="inlineStr">
        <is>
          <t>Tool</t>
        </is>
      </c>
      <c r="J79" t="inlineStr">
        <is>
          <t>Automated</t>
        </is>
      </c>
      <c r="K79" t="inlineStr">
        <is>
          <t>PASS</t>
        </is>
      </c>
      <c r="L79" t="inlineStr">
        <is>
          <t>mas_sular and u122587529_dev_ecommerce refused as "protected (production or shared) database"; ecommerce_staging refused as "does not look disposable"; NODE_ENV=production refused even against the disposable name. 4/4 refusals, 0 rows read or written.</t>
        </is>
      </c>
      <c r="M79" t="inlineStr">
        <is>
          <t>normalize-address-phone.verify.ts guard suite; protected DB names created INSIDE the throwaway container</t>
        </is>
      </c>
      <c r="N79" t="inlineStr">
        <is>
          <t>2026-09-04</t>
        </is>
      </c>
      <c r="O79" t="inlineStr">
        <is>
          <t>Guard runs before the first SELECT of address rows, so a refusal cannot be confused with an unrelated failure.</t>
        </is>
      </c>
    </row>
    <row r="80">
      <c r="A80" t="inlineStr">
        <is>
          <t>PHONE-BF-013</t>
        </is>
      </c>
      <c r="B80" t="inlineStr">
        <is>
          <t>Phone Backfill</t>
        </is>
      </c>
      <c r="C80" t="inlineStr">
        <is>
          <t>Address</t>
        </is>
      </c>
      <c r="D80" t="inlineStr">
        <is>
          <t>Shared-dev database identity proven before any write</t>
        </is>
      </c>
      <c r="E80" t="inlineStr">
        <is>
          <t>Backfill tool with target+allowlist guards</t>
        </is>
      </c>
      <c r="F80" t="inlineStr">
        <is>
          <t>Read SELECT DATABASE(); attempt apply with each half of the confirmation missing</t>
        </is>
      </c>
      <c r="G80" t="inlineStr">
        <is>
          <t>Identity proven; every unconfirmed or protected target refused before a row is read</t>
        </is>
      </c>
      <c r="H80" t="inlineStr">
        <is>
          <t>P0</t>
        </is>
      </c>
      <c r="I80" t="inlineStr">
        <is>
          <t>Tool</t>
        </is>
      </c>
      <c r="J80" t="inlineStr">
        <is>
          <t>Automated</t>
        </is>
      </c>
      <c r="K80" t="inlineStr">
        <is>
          <t>PASS</t>
        </is>
      </c>
      <c r="L80" t="inlineStr">
        <is>
          <t>SELECT DATABASE() = u122587529_dev_ecommerce, VERSION() = 11.8.8-MariaDB-log. Guard matrix 8/8 refusals: production bare AND with --target+--ids; shared dev bare, ids-without-target, target-without-ids, wrong --target; non-disposable name with both; NODE_ENV=production.</t>
        </is>
      </c>
      <c r="M80" t="inlineStr">
        <is>
          <t>normalize-address-phone.verify.ts on disposable MySQL 8.4 (e2e_phone_backfill) + live run</t>
        </is>
      </c>
      <c r="N80" t="inlineStr">
        <is>
          <t>2026-09-04</t>
        </is>
      </c>
      <c r="O80" t="inlineStr">
        <is>
          <t>Production is refused unconditionally - no flag lifts it. Shared dev needs the database named AND every row named.</t>
        </is>
      </c>
    </row>
    <row r="81">
      <c r="A81" t="inlineStr">
        <is>
          <t>PHONE-BF-014</t>
        </is>
      </c>
      <c r="B81" t="inlineStr">
        <is>
          <t>Phone Backfill</t>
        </is>
      </c>
      <c r="C81" t="inlineStr">
        <is>
          <t>Address</t>
        </is>
      </c>
      <c r="D81" t="inlineStr">
        <is>
          <t>Pre-backfill snapshot captured</t>
        </is>
      </c>
      <c r="E81" t="inlineStr">
        <is>
          <t>Shared dev reachable; read-only</t>
        </is>
      </c>
      <c r="F81" t="inlineStr">
        <is>
          <t>Snapshot all Address rows, every column, plus order/shipment/outbox counts</t>
        </is>
      </c>
      <c r="G81" t="inlineStr">
        <is>
          <t>Complete pre-state captured without persisting any plaintext phone number</t>
        </is>
      </c>
      <c r="H81" t="inlineStr">
        <is>
          <t>P0</t>
        </is>
      </c>
      <c r="I81" t="inlineStr">
        <is>
          <t>Audit</t>
        </is>
      </c>
      <c r="J81" t="inlineStr">
        <is>
          <t>Automated</t>
        </is>
      </c>
      <c r="K81" t="inlineStr">
        <is>
          <t>PASS</t>
        </is>
      </c>
      <c r="L81" t="inlineStr">
        <is>
          <t>7 live rows captured at 2026-09-04T06:47:34.902Z; 19 columns each fingerprinted with SHA-256; order, shipment and NotificationOutbox recipient counts recorded per row. No plaintext phone written to disk; console output masked.</t>
        </is>
      </c>
      <c r="M81" t="inlineStr">
        <is>
          <t>snapshot-addresses.js pre/post SHA-256 field fingerprints + diff-snapshots.js; shared dev u122587529_dev_ecommerce (MariaDB 11.8.8); read-only</t>
        </is>
      </c>
      <c r="N81" t="inlineStr">
        <is>
          <t>2026-09-04</t>
        </is>
      </c>
      <c r="O81" t="inlineStr">
        <is>
          <t>Fingerprints are enough to prove a value did not change, so the snapshot never holds PII.</t>
        </is>
      </c>
    </row>
    <row r="82">
      <c r="A82" t="inlineStr">
        <is>
          <t>PHONE-BF-015</t>
        </is>
      </c>
      <c r="B82" t="inlineStr">
        <is>
          <t>Phone Backfill</t>
        </is>
      </c>
      <c r="C82" t="inlineStr">
        <is>
          <t>Address</t>
        </is>
      </c>
      <c r="D82" t="inlineStr">
        <is>
          <t>Exactly six approved IDs selected from live data</t>
        </is>
      </c>
      <c r="E82" t="inlineStr">
        <is>
          <t>Pre-backfill snapshot available</t>
        </is>
      </c>
      <c r="F82" t="inlineStr">
        <is>
          <t>Read the exact UUIDs from the database; dry-run the tool against shared dev</t>
        </is>
      </c>
      <c r="G82" t="inlineStr">
        <is>
          <t>Six explicit IDs, all class B, none already canonical, none malformed</t>
        </is>
      </c>
      <c r="H82" t="inlineStr">
        <is>
          <t>P0</t>
        </is>
      </c>
      <c r="I82" t="inlineStr">
        <is>
          <t>Tool</t>
        </is>
      </c>
      <c r="J82" t="inlineStr">
        <is>
          <t>Automated</t>
        </is>
      </c>
      <c r="K82" t="inlineStr">
        <is>
          <t>PASS</t>
        </is>
      </c>
      <c r="L82" t="inlineStr">
        <is>
          <t>Dry run reported normalize=6 alreadyCanonical=0 quarantine=1 over 7 rows. Allowlist built from the six full UUIDs read from the live DB, not inferred from masked values. No pattern-matched bulk UPDATE was used.</t>
        </is>
      </c>
      <c r="M82" t="inlineStr">
        <is>
          <t>normalize-address-phone.ts --target=u122587529_dev_ecommerce --ids=&lt;6 explicit UUIDs&gt;; shared dev u122587529_dev_ecommerce (MariaDB 11.8.8) (dry run)</t>
        </is>
      </c>
      <c r="N82" t="inlineStr">
        <is>
          <t>2026-09-04</t>
        </is>
      </c>
      <c r="O82" t="inlineStr">
        <is>
          <t>The tool refuses to bulk-update a shared database at all; an explicit --ids allowlist is mandatory.</t>
        </is>
      </c>
    </row>
    <row r="83">
      <c r="A83" t="inlineStr">
        <is>
          <t>PHONE-BF-016</t>
        </is>
      </c>
      <c r="B83" t="inlineStr">
        <is>
          <t>Phone Backfill</t>
        </is>
      </c>
      <c r="C83" t="inlineStr">
        <is>
          <t>Address</t>
        </is>
      </c>
      <c r="D83" t="inlineStr">
        <is>
          <t>Quarantined malformed ID excluded from the allowlist</t>
        </is>
      </c>
      <c r="E83" t="inlineStr">
        <is>
          <t>Malformed row 7690796f identified in 61AG.3.21</t>
        </is>
      </c>
      <c r="F83" t="inlineStr">
        <is>
          <t>Assert its classification and that it is absent from the approved set</t>
        </is>
      </c>
      <c r="G83" t="inlineStr">
        <is>
          <t>Row classified D, excluded, and never written</t>
        </is>
      </c>
      <c r="H83" t="inlineStr">
        <is>
          <t>P0</t>
        </is>
      </c>
      <c r="I83" t="inlineStr">
        <is>
          <t>Tool</t>
        </is>
      </c>
      <c r="J83" t="inlineStr">
        <is>
          <t>Automated</t>
        </is>
      </c>
      <c r="K83" t="inlineStr">
        <is>
          <t>PASS</t>
        </is>
      </c>
      <c r="L83" t="inlineStr">
        <is>
          <t>7690796f classified D (cannot be normalised); user.phone null; order count 0; no fallback source. Absent from the six approved IDs. Tool also aborts if a quarantined id is placed in an allowlist.</t>
        </is>
      </c>
      <c r="M83" t="inlineStr">
        <is>
          <t>normalize-address-phone.verify.ts on disposable MySQL 8.4 (e2e_phone_backfill) + snapshot-addresses.js pre/post SHA-256 field fingerprints + diff-snapshots.js; shared dev u122587529_dev_ecommerce (MariaDB 11.8.8); read-only</t>
        </is>
      </c>
      <c r="N83" t="inlineStr">
        <is>
          <t>2026-09-04</t>
        </is>
      </c>
      <c r="O83" t="inlineStr">
        <is>
          <t>No value was guessed. This row still needs a data owner decision.</t>
        </is>
      </c>
    </row>
    <row r="84">
      <c r="A84" t="inlineStr">
        <is>
          <t>PHONE-BF-017</t>
        </is>
      </c>
      <c r="B84" t="inlineStr">
        <is>
          <t>Phone Backfill</t>
        </is>
      </c>
      <c r="C84" t="inlineStr">
        <is>
          <t>Address</t>
        </is>
      </c>
      <c r="D84" t="inlineStr">
        <is>
          <t>Shared-dev apply changes exactly the six approved rows</t>
        </is>
      </c>
      <c r="E84" t="inlineStr">
        <is>
          <t>Allowlist of six approved IDs</t>
        </is>
      </c>
      <c r="F84" t="inlineStr">
        <is>
          <t>Run the tool with --apply --target --ids against shared dev</t>
        </is>
      </c>
      <c r="G84" t="inlineStr">
        <is>
          <t>Exactly 6 rows updated; all six become canonical 628</t>
        </is>
      </c>
      <c r="H84" t="inlineStr">
        <is>
          <t>P0</t>
        </is>
      </c>
      <c r="I84" t="inlineStr">
        <is>
          <t>Tool</t>
        </is>
      </c>
      <c r="J84" t="inlineStr">
        <is>
          <t>Automated</t>
        </is>
      </c>
      <c r="K84" t="inlineStr">
        <is>
          <t>PASS</t>
        </is>
      </c>
      <c r="L84" t="inlineStr">
        <is>
          <t>write guard passed (allowlist mode); "applied: 6 row(s) updated"; post-state classification B:6-&gt;A:6, D:1 unchanged. Affected-row count asserted inside the transaction.</t>
        </is>
      </c>
      <c r="M84" t="inlineStr">
        <is>
          <t>normalize-address-phone.ts --apply --target=u122587529_dev_ecommerce --ids=&lt;6 explicit UUIDs&gt;; shared dev u122587529_dev_ecommerce (MariaDB 11.8.8)</t>
        </is>
      </c>
      <c r="N84" t="inlineStr">
        <is>
          <t>2026-09-04</t>
        </is>
      </c>
      <c r="O84" t="inlineStr">
        <is>
          <t>First and only mutating run against shared dev in this phase.</t>
        </is>
      </c>
    </row>
    <row r="85">
      <c r="A85" t="inlineStr">
        <is>
          <t>PHONE-BF-018</t>
        </is>
      </c>
      <c r="B85" t="inlineStr">
        <is>
          <t>Phone Backfill</t>
        </is>
      </c>
      <c r="C85" t="inlineStr">
        <is>
          <t>Address</t>
        </is>
      </c>
      <c r="D85" t="inlineStr">
        <is>
          <t>No partial commit when compare-and-set fails</t>
        </is>
      </c>
      <c r="E85" t="inlineStr">
        <is>
          <t>Disposable DB with a repairable row</t>
        </is>
      </c>
      <c r="F85" t="inlineStr">
        <is>
          <t>Force a mid-transaction CAS miss after one row has already been updated</t>
        </is>
      </c>
      <c r="G85" t="inlineStr">
        <is>
          <t>Whole transaction rolls back; the already-updated row returns to its original value</t>
        </is>
      </c>
      <c r="H85" t="inlineStr">
        <is>
          <t>P0</t>
        </is>
      </c>
      <c r="I85" t="inlineStr">
        <is>
          <t>Tool</t>
        </is>
      </c>
      <c r="J85" t="inlineStr">
        <is>
          <t>Automated</t>
        </is>
      </c>
      <c r="K85" t="inlineStr">
        <is>
          <t>PASS</t>
        </is>
      </c>
      <c r="L85" t="inlineStr">
        <is>
          <t>Naming a row twice makes the second CAS miss (the first update moved the phone off the expected value). Tool threw "expected 2 affected row(s), got 1"; full-column diff after the failure = {}; the partially-updated row was back at its original legacy value.</t>
        </is>
      </c>
      <c r="M85" t="inlineStr">
        <is>
          <t>normalize-address-phone.verify.ts on disposable MySQL 8.4 (e2e_phone_backfill)</t>
        </is>
      </c>
      <c r="N85" t="inlineStr">
        <is>
          <t>2026-09-04</t>
        </is>
      </c>
      <c r="O85" t="inlineStr">
        <is>
          <t>Exercised through the public interface, so it is the real rollback path, not a replica of it.</t>
        </is>
      </c>
    </row>
    <row r="86">
      <c r="A86" t="inlineStr">
        <is>
          <t>PHONE-BF-019</t>
        </is>
      </c>
      <c r="B86" t="inlineStr">
        <is>
          <t>Phone Backfill</t>
        </is>
      </c>
      <c r="C86" t="inlineStr">
        <is>
          <t>Address</t>
        </is>
      </c>
      <c r="D86" t="inlineStr">
        <is>
          <t>updatedAt bump measured at millisecond precision</t>
        </is>
      </c>
      <c r="E86" t="inlineStr">
        <is>
          <t>Pre/post snapshots with epoch-millisecond timestamps</t>
        </is>
      </c>
      <c r="F86" t="inlineStr">
        <is>
          <t>Compare updatedAt before and after for every row</t>
        </is>
      </c>
      <c r="G86" t="inlineStr">
        <is>
          <t>Bumped on the six repaired rows; unchanged everywhere else</t>
        </is>
      </c>
      <c r="H86" t="inlineStr">
        <is>
          <t>P0</t>
        </is>
      </c>
      <c r="I86" t="inlineStr">
        <is>
          <t>Audit</t>
        </is>
      </c>
      <c r="J86" t="inlineStr">
        <is>
          <t>Automated</t>
        </is>
      </c>
      <c r="K86" t="inlineStr">
        <is>
          <t>PASS</t>
        </is>
      </c>
      <c r="L86" t="inlineStr">
        <is>
          <t>updatedAt BUMPED on 6/6 repaired rows (deltas +17796213ms to +255109151ms vs their previous values). Quarantined row updatedAt unchanged at 2026-09-04T01:34:07.588Z. Compared as epoch ms / ISO with milliseconds, never String(Date).</t>
        </is>
      </c>
      <c r="M86" t="inlineStr">
        <is>
          <t>snapshot-addresses.js pre/post SHA-256 field fingerprints + diff-snapshots.js; shared dev u122587529_dev_ecommerce (MariaDB 11.8.8); read-only</t>
        </is>
      </c>
      <c r="N86" t="inlineStr">
        <is>
          <t>2026-09-04</t>
        </is>
      </c>
      <c r="O86" t="inlineStr">
        <is>
          <t>The bump is reported, not glossed over: Address.updatedAt has no ON UPDATE clause and nothing reads it (CAS guards are on AdminRole and Shipment), so it is an honest audit trace.</t>
        </is>
      </c>
    </row>
    <row r="87">
      <c r="A87" t="inlineStr">
        <is>
          <t>PHONE-BF-020</t>
        </is>
      </c>
      <c r="B87" t="inlineStr">
        <is>
          <t>Phone Backfill</t>
        </is>
      </c>
      <c r="C87" t="inlineStr">
        <is>
          <t>Address</t>
        </is>
      </c>
      <c r="D87" t="inlineStr">
        <is>
          <t>Non-phone fields remain unchanged</t>
        </is>
      </c>
      <c r="E87" t="inlineStr">
        <is>
          <t>Pre/post snapshots of all 19 Address columns</t>
        </is>
      </c>
      <c r="F87" t="inlineStr">
        <is>
          <t>Fingerprint-compare every column of every row</t>
        </is>
      </c>
      <c r="G87" t="inlineStr">
        <is>
          <t>Only phone and updatedAt differ, and only on the six approved rows</t>
        </is>
      </c>
      <c r="H87" t="inlineStr">
        <is>
          <t>P0</t>
        </is>
      </c>
      <c r="I87" t="inlineStr">
        <is>
          <t>Audit</t>
        </is>
      </c>
      <c r="J87" t="inlineStr">
        <is>
          <t>Automated</t>
        </is>
      </c>
      <c r="K87" t="inlineStr">
        <is>
          <t>PASS</t>
        </is>
      </c>
      <c r="L87" t="inlineStr">
        <is>
          <t>Each repaired row: 17 other columns byte-identical (id, userId, label, recipientName, fullAddress, addressDetail, notes, latitude, longitude, isDefault, provinceId, cityId, districtId, villageId, postalCode, createdAt, deletedAt). No forbidden column moved on any row.</t>
        </is>
      </c>
      <c r="M87" t="inlineStr">
        <is>
          <t>snapshot-addresses.js pre/post SHA-256 field fingerprints + diff-snapshots.js; shared dev u122587529_dev_ecommerce (MariaDB 11.8.8); read-only</t>
        </is>
      </c>
      <c r="N87" t="inlineStr">
        <is>
          <t>2026-09-04</t>
        </is>
      </c>
    </row>
    <row r="88">
      <c r="A88" t="inlineStr">
        <is>
          <t>PHONE-BF-021</t>
        </is>
      </c>
      <c r="B88" t="inlineStr">
        <is>
          <t>Phone Backfill</t>
        </is>
      </c>
      <c r="C88" t="inlineStr">
        <is>
          <t>Address</t>
        </is>
      </c>
      <c r="D88" t="inlineStr">
        <is>
          <t>Malformed address remains completely untouched</t>
        </is>
      </c>
      <c r="E88" t="inlineStr">
        <is>
          <t>Quarantined row present in shared dev</t>
        </is>
      </c>
      <c r="F88" t="inlineStr">
        <is>
          <t>Fingerprint-compare all 19 columns before and after both applies</t>
        </is>
      </c>
      <c r="G88" t="inlineStr">
        <is>
          <t>Every column identical, including phone and updatedAt</t>
        </is>
      </c>
      <c r="H88" t="inlineStr">
        <is>
          <t>P0</t>
        </is>
      </c>
      <c r="I88" t="inlineStr">
        <is>
          <t>Audit</t>
        </is>
      </c>
      <c r="J88" t="inlineStr">
        <is>
          <t>Automated</t>
        </is>
      </c>
      <c r="K88" t="inlineStr">
        <is>
          <t>PASS</t>
        </is>
      </c>
      <c r="L88" t="inlineStr">
        <is>
          <t>7690796f: all 19 columns byte-identical across the backfill and the re-run. Class D before and after.</t>
        </is>
      </c>
      <c r="M88" t="inlineStr">
        <is>
          <t>snapshot-addresses.js pre/post SHA-256 field fingerprints + diff-snapshots.js; shared dev u122587529_dev_ecommerce (MariaDB 11.8.8); read-only</t>
        </is>
      </c>
      <c r="N88" t="inlineStr">
        <is>
          <t>2026-09-04</t>
        </is>
      </c>
    </row>
    <row r="89">
      <c r="A89" t="inlineStr">
        <is>
          <t>PHONE-BF-022</t>
        </is>
      </c>
      <c r="B89" t="inlineStr">
        <is>
          <t>Phone Backfill</t>
        </is>
      </c>
      <c r="C89" t="inlineStr">
        <is>
          <t>Address</t>
        </is>
      </c>
      <c r="D89" t="inlineStr">
        <is>
          <t>NotificationOutbox historical recipients unchanged</t>
        </is>
      </c>
      <c r="E89" t="inlineStr">
        <is>
          <t>Existing outbox rows in shared dev</t>
        </is>
      </c>
      <c r="F89" t="inlineStr">
        <is>
          <t>Count rows, distinct recipients, and anything created or sent since the backfill</t>
        </is>
      </c>
      <c r="G89" t="inlineStr">
        <is>
          <t>Historical send-time snapshots preserved; nothing new enqueued or sent</t>
        </is>
      </c>
      <c r="H89" t="inlineStr">
        <is>
          <t>P0</t>
        </is>
      </c>
      <c r="I89" t="inlineStr">
        <is>
          <t>Audit</t>
        </is>
      </c>
      <c r="J89" t="inlineStr">
        <is>
          <t>Automated</t>
        </is>
      </c>
      <c r="K89" t="inlineStr">
        <is>
          <t>PASS</t>
        </is>
      </c>
      <c r="L89" t="inlineStr">
        <is>
          <t>10 outbox rows, 2 distinct historical recipients preserved. 0 rows created and 0 rows sent since the backfill began. The backfill writes only Address.phone; recipient is a frozen send-time snapshot and was not rewritten.</t>
        </is>
      </c>
      <c r="M89" t="inlineStr">
        <is>
          <t>downstream-verify.js, read-only against shared dev u122587529_dev_ecommerce (MariaDB 11.8.8)</t>
        </is>
      </c>
      <c r="N89" t="inlineStr">
        <is>
          <t>2026-09-04</t>
        </is>
      </c>
      <c r="O89" t="inlineStr">
        <is>
          <t>History is deliberately preserved: past sends record the number actually used at the time.</t>
        </is>
      </c>
    </row>
    <row r="90">
      <c r="A90" t="inlineStr">
        <is>
          <t>PHONE-BF-023</t>
        </is>
      </c>
      <c r="B90" t="inlineStr">
        <is>
          <t>Phone Backfill</t>
        </is>
      </c>
      <c r="C90" t="inlineStr">
        <is>
          <t>Address</t>
        </is>
      </c>
      <c r="D90" t="inlineStr">
        <is>
          <t>Dynamic shipment path resolves the canonical value</t>
        </is>
      </c>
      <c r="E90" t="inlineStr">
        <is>
          <t>One order and one shipment reference a repaired address</t>
        </is>
      </c>
      <c r="F90" t="inlineStr">
        <is>
          <t>Read order.address.phone - the exact expression shipment.service.ts:232 evaluates</t>
        </is>
      </c>
      <c r="G90" t="inlineStr">
        <is>
          <t>Canonical 628 digits-only resolved without creating anything or calling a courier</t>
        </is>
      </c>
      <c r="H90" t="inlineStr">
        <is>
          <t>P0</t>
        </is>
      </c>
      <c r="I90" t="inlineStr">
        <is>
          <t>Integration</t>
        </is>
      </c>
      <c r="J90" t="inlineStr">
        <is>
          <t>Automated</t>
        </is>
      </c>
      <c r="K90" t="inlineStr">
        <is>
          <t>PASS</t>
        </is>
      </c>
      <c r="L90" t="inlineStr">
        <is>
          <t>order b3688c65 -&gt; address f5effb1f: destination.phone resolves to 628****3304, matching ^628[0-9]+$. shipment 995f96ae (RATE_SELECTED) re-reads the same canonical value. 1 order and 1 shipment inspected; none created; no courier call.</t>
        </is>
      </c>
      <c r="M90" t="inlineStr">
        <is>
          <t>downstream-verify.js, read-only against shared dev u122587529_dev_ecommerce (MariaDB 11.8.8)</t>
        </is>
      </c>
      <c r="N90" t="inlineStr">
        <is>
          <t>2026-09-04</t>
        </is>
      </c>
      <c r="O90" t="inlineStr">
        <is>
          <t>No Order.phone or Shipment.phone column exists, so the relation read picks the repair up automatically.</t>
        </is>
      </c>
    </row>
    <row r="91">
      <c r="A91" t="inlineStr">
        <is>
          <t>PHONE-BF-024</t>
        </is>
      </c>
      <c r="B91" t="inlineStr">
        <is>
          <t>Phone Backfill</t>
        </is>
      </c>
      <c r="C91" t="inlineStr">
        <is>
          <t>Address</t>
        </is>
      </c>
      <c r="D91" t="inlineStr">
        <is>
          <t>Second apply is idempotent</t>
        </is>
      </c>
      <c r="E91" t="inlineStr">
        <is>
          <t>Backfill already applied to shared dev</t>
        </is>
      </c>
      <c r="F91" t="inlineStr">
        <is>
          <t>Re-run the identical approved command</t>
        </is>
      </c>
      <c r="G91" t="inlineStr">
        <is>
          <t>Zero rows applied, clean exit, no updatedAt re-bump</t>
        </is>
      </c>
      <c r="H91" t="inlineStr">
        <is>
          <t>P0</t>
        </is>
      </c>
      <c r="I91" t="inlineStr">
        <is>
          <t>Tool</t>
        </is>
      </c>
      <c r="J91" t="inlineStr">
        <is>
          <t>Automated</t>
        </is>
      </c>
      <c r="K91" t="inlineStr">
        <is>
          <t>PASS</t>
        </is>
      </c>
      <c r="L91" t="inlineStr">
        <is>
          <t>Second run: normalize=0 alreadyCanonical=6 quarantine=1, "applied: 0 row(s) updated", exit 0. Post-1 vs post-2 fingerprint diff = 0 columns across all 7 rows including updatedAt. First apply = 6, second apply = 0.</t>
        </is>
      </c>
      <c r="M91" t="inlineStr">
        <is>
          <t>normalize-address-phone.ts --apply --target=u122587529_dev_ecommerce --ids=&lt;6 explicit UUIDs&gt;; shared dev u122587529_dev_ecommerce (MariaDB 11.8.8) (re-run) + snapshot-addresses.js pre/post SHA-256 field fingerprints + diff-snapshots.js; shared dev u122587529_dev_ecommerce (MariaDB 11.8.8); read-only</t>
        </is>
      </c>
      <c r="N91" t="inlineStr">
        <is>
          <t>2026-09-04</t>
        </is>
      </c>
      <c r="O91" t="inlineStr">
        <is>
          <t>The first attempt at this exited 1: the allowlist check wrongly treated an already-canonical approved id as drift. Fixed so already-canonical is a satisfied no-op while a missing or unrepairable id still aborts; re-verified on the disposable DB and then re-run here.</t>
        </is>
      </c>
    </row>
    <row r="92">
      <c r="A92" t="inlineStr">
        <is>
          <t>PHONE-BF-025</t>
        </is>
      </c>
      <c r="B92" t="inlineStr">
        <is>
          <t>Phone Backfill</t>
        </is>
      </c>
      <c r="C92" t="inlineStr">
        <is>
          <t>Address</t>
        </is>
      </c>
      <c r="D92" t="inlineStr">
        <is>
          <t>No unrelated Address rows changed</t>
        </is>
      </c>
      <c r="E92" t="inlineStr">
        <is>
          <t>Pre/post snapshots of the whole table</t>
        </is>
      </c>
      <c r="F92" t="inlineStr">
        <is>
          <t>Compare row count, id set, and every column of every row</t>
        </is>
      </c>
      <c r="G92" t="inlineStr">
        <is>
          <t>No row created, deleted, duplicated or altered outside the approved six</t>
        </is>
      </c>
      <c r="H92" t="inlineStr">
        <is>
          <t>P0</t>
        </is>
      </c>
      <c r="I92" t="inlineStr">
        <is>
          <t>Audit</t>
        </is>
      </c>
      <c r="J92" t="inlineStr">
        <is>
          <t>Automated</t>
        </is>
      </c>
      <c r="K92" t="inlineStr">
        <is>
          <t>PASS</t>
        </is>
      </c>
      <c r="L92" t="inlineStr">
        <is>
          <t>Address count 7 -&gt; 7; identical id set (no duplication, no substitution); the only rows in the changed set are the six approved. Order, shipment and outbox counts unchanged for every row.</t>
        </is>
      </c>
      <c r="M92" t="inlineStr">
        <is>
          <t>snapshot-addresses.js pre/post SHA-256 field fingerprints + diff-snapshots.js; shared dev u122587529_dev_ecommerce (MariaDB 11.8.8); read-only</t>
        </is>
      </c>
      <c r="N92" t="inlineStr">
        <is>
          <t>2026-09-04</t>
        </is>
      </c>
      <c r="O92" t="inlineStr">
        <is>
          <t>The tool also reported that no normalisable row existed outside the allowlist.</t>
        </is>
      </c>
    </row>
    <row r="93">
      <c r="A93" t="inlineStr">
        <is>
          <t>PHONE-BF-026</t>
        </is>
      </c>
      <c r="B93" t="inlineStr">
        <is>
          <t>Phone Backfill</t>
        </is>
      </c>
      <c r="C93" t="inlineStr">
        <is>
          <t>Address</t>
        </is>
      </c>
      <c r="D93" t="inlineStr">
        <is>
          <t>No external services called</t>
        </is>
      </c>
      <c r="E93" t="inlineStr">
        <is>
          <t>Backfill and regression executed</t>
        </is>
      </c>
      <c r="F93" t="inlineStr">
        <is>
          <t>Audit the tool import surface and the regression stub counters</t>
        </is>
      </c>
      <c r="G93" t="inlineStr">
        <is>
          <t>Zero Google, Paxel, JNE, RajaOngkir, Qontak, payment, courier, Redis and RabbitMQ calls</t>
        </is>
      </c>
      <c r="H93" t="inlineStr">
        <is>
          <t>P0</t>
        </is>
      </c>
      <c r="I93" t="inlineStr">
        <is>
          <t>Audit</t>
        </is>
      </c>
      <c r="J93" t="inlineStr">
        <is>
          <t>Automated</t>
        </is>
      </c>
      <c r="K93" t="inlineStr">
        <is>
          <t>PASS</t>
        </is>
      </c>
      <c r="L93" t="inlineStr">
        <is>
          <t>Tool imports only @prisma/client and common/utils/phone.util - no HTTP client, queue or cache reference (the sole regex hit is the string PAXELBOX in the ticket header). Regression stubs report real calls 0: isolated stack google=2/paxel=8 stub-only with container destroyed, GEO runner 17 stub invocations / 0 real. Qontak contract verified in-process only.</t>
        </is>
      </c>
      <c r="M93" t="inlineStr">
        <is>
          <t>downstream-verify.js, read-only against shared dev u122587529_dev_ecommerce (MariaDB 11.8.8) + isolated E2E teardown + tc/phone API runners</t>
        </is>
      </c>
      <c r="N93" t="inlineStr">
        <is>
          <t>2026-09-04</t>
        </is>
      </c>
      <c r="O93" t="inlineStr">
        <is>
          <t>The backfill has no network surface at all; it opens one database connection.</t>
        </is>
      </c>
    </row>
    <row r="94">
      <c r="A94" t="inlineStr">
        <is>
          <t>PHONE-PROD-001</t>
        </is>
      </c>
      <c r="B94" t="inlineStr">
        <is>
          <t>Prod Readiness</t>
        </is>
      </c>
      <c r="C94" t="inlineStr">
        <is>
          <t>Address</t>
        </is>
      </c>
      <c r="D94" t="inlineStr">
        <is>
          <t>Production database identity verified read-only</t>
        </is>
      </c>
      <c r="E94" t="inlineStr">
        <is>
          <t>Production credentials available in production.env</t>
        </is>
      </c>
      <c r="F94" t="inlineStr">
        <is>
          <t>Parse DATABASE_URL host, probe reachability, then SELECT DATABASE()/VERSION()</t>
        </is>
      </c>
      <c r="G94" t="inlineStr">
        <is>
          <t>Identity proven as the intended production database</t>
        </is>
      </c>
      <c r="H94" t="inlineStr">
        <is>
          <t>P0</t>
        </is>
      </c>
      <c r="I94" t="inlineStr">
        <is>
          <t>Audit</t>
        </is>
      </c>
      <c r="J94" t="inlineStr">
        <is>
          <t>Manual</t>
        </is>
      </c>
      <c r="K94" t="inlineStr">
        <is>
          <t>BLOCKED</t>
        </is>
      </c>
      <c r="L94" t="inlineStr">
        <is>
          <t>Production MySQL is unreachable from a workstation BY DESIGN: production.env DATABASE_URL names host "mysql" (a bare docker-compose service name, no dots) and DNS resolution fails; docker-compose.production.yml puts it on the internal network with "# NO ports: - 3306 must never reach the host." No workaround was attempted - the control is working as intended. SELECT DATABASE() could not be executed, so identity is NOT proven. Per the phase rule "if production connection identity cannot be proven: STOP", the production-connected work stops here.</t>
        </is>
      </c>
      <c r="M94" t="inlineStr">
        <is>
          <t>Read-only inspection of production.env key names and docker-compose.production.yml; DNS resolution probe; no values printed</t>
        </is>
      </c>
      <c r="N94" t="inlineStr">
        <is>
          <t>2026-09-04</t>
        </is>
      </c>
      <c r="O94" t="inlineStr">
        <is>
          <t>The audit must run on the production host inside the compose network (docker compose exec), as a read-only step of the approved change. Runbook section A.</t>
        </is>
      </c>
    </row>
    <row r="95">
      <c r="A95" t="inlineStr">
        <is>
          <t>PHONE-PROD-002</t>
        </is>
      </c>
      <c r="B95" t="inlineStr">
        <is>
          <t>Prod Readiness</t>
        </is>
      </c>
      <c r="C95" t="inlineStr">
        <is>
          <t>Address</t>
        </is>
      </c>
      <c r="D95" t="inlineStr">
        <is>
          <t>Production schema compatibility verified</t>
        </is>
      </c>
      <c r="E95" t="inlineStr">
        <is>
          <t>Production reachable</t>
        </is>
      </c>
      <c r="F95" t="inlineStr">
        <is>
          <t>SHOW CREATE TABLE Address and compare against schema.prisma + migration history</t>
        </is>
      </c>
      <c r="G95" t="inlineStr">
        <is>
          <t>No schema drift on the objects the backfill touches</t>
        </is>
      </c>
      <c r="H95" t="inlineStr">
        <is>
          <t>P0</t>
        </is>
      </c>
      <c r="I95" t="inlineStr">
        <is>
          <t>Audit</t>
        </is>
      </c>
      <c r="J95" t="inlineStr">
        <is>
          <t>Manual</t>
        </is>
      </c>
      <c r="K95" t="inlineStr">
        <is>
          <t>BLOCKED</t>
        </is>
      </c>
      <c r="L95" t="inlineStr">
        <is>
          <t>Could not query production. Expectations are documented instead and must be confirmed during the on-host audit: Address.phone VARCHAR(191) NOT NULL; Address.updatedAt DATETIME(3) with NO ON UPDATE clause; deletedAt nullable; no unique index on Address.phone; User.phone nullable; no phone column on Order or Shipment; NotificationOutbox.recipient VARCHAR(255) frozen snapshot. Verified against the repo schema and migrations, NOT against production.</t>
        </is>
      </c>
      <c r="M95" t="inlineStr">
        <is>
          <t>Read-only inspection of production.env key names and docker-compose.production.yml; DNS resolution probe; no values printed; prisma/schema.prisma; prisma/migrations/20260528083830_mas_sular/migration.sql</t>
        </is>
      </c>
      <c r="N95" t="inlineStr">
        <is>
          <t>2026-09-04</t>
        </is>
      </c>
      <c r="O95" t="inlineStr">
        <is>
          <t>Production is migrated from this repo by the backend-migrate compose service, so drift is not expected - but "not expected" is not "verified".</t>
        </is>
      </c>
    </row>
    <row r="96">
      <c r="A96" t="inlineStr">
        <is>
          <t>PHONE-PROD-003</t>
        </is>
      </c>
      <c r="B96" t="inlineStr">
        <is>
          <t>Prod Readiness</t>
        </is>
      </c>
      <c r="C96" t="inlineStr">
        <is>
          <t>Address</t>
        </is>
      </c>
      <c r="D96" t="inlineStr">
        <is>
          <t>Production Address.phone classification</t>
        </is>
      </c>
      <c r="E96" t="inlineStr">
        <is>
          <t>Production reachable</t>
        </is>
      </c>
      <c r="F96" t="inlineStr">
        <is>
          <t>Classify every production Address.phone with normalizeIndonesianMobile()</t>
        </is>
      </c>
      <c r="G96" t="inlineStr">
        <is>
          <t>Counts per class A/B/C/D/E with masked values</t>
        </is>
      </c>
      <c r="H96" t="inlineStr">
        <is>
          <t>P0</t>
        </is>
      </c>
      <c r="I96" t="inlineStr">
        <is>
          <t>Audit</t>
        </is>
      </c>
      <c r="J96" t="inlineStr">
        <is>
          <t>Manual</t>
        </is>
      </c>
      <c r="K96" t="inlineStr">
        <is>
          <t>BLOCKED</t>
        </is>
      </c>
      <c r="L96" t="inlineStr">
        <is>
          <t>Not performed - production unreachable. No counts can be reported. Inventing or extrapolating them from shared dev would be a fabrication: dev holds 7 rows and is not a sample of production.</t>
        </is>
      </c>
      <c r="M96" t="inlineStr">
        <is>
          <t>Read-only inspection of production.env key names and docker-compose.production.yml; DNS resolution probe; no values printed</t>
        </is>
      </c>
      <c r="N96" t="inlineStr">
        <is>
          <t>2026-09-04</t>
        </is>
      </c>
      <c r="O96" t="inlineStr">
        <is>
          <t>The dry-run command that produces this is in runbook section A, marked NOT EXECUTED.</t>
        </is>
      </c>
    </row>
    <row r="97">
      <c r="A97" t="inlineStr">
        <is>
          <t>PHONE-PROD-004</t>
        </is>
      </c>
      <c r="B97" t="inlineStr">
        <is>
          <t>Prod Readiness</t>
        </is>
      </c>
      <c r="C97" t="inlineStr">
        <is>
          <t>Address</t>
        </is>
      </c>
      <c r="D97" t="inlineStr">
        <is>
          <t>Malformed production phone review</t>
        </is>
      </c>
      <c r="E97" t="inlineStr">
        <is>
          <t>Production classification available</t>
        </is>
      </c>
      <c r="F97" t="inlineStr">
        <is>
          <t>For each malformed row inspect User.phone, orders, shipments, outbox references</t>
        </is>
      </c>
      <c r="G97" t="inlineStr">
        <is>
          <t>Each malformed row marked REVIEWABLE or MANUAL_REVIEW; none guessed</t>
        </is>
      </c>
      <c r="H97" t="inlineStr">
        <is>
          <t>P0</t>
        </is>
      </c>
      <c r="I97" t="inlineStr">
        <is>
          <t>Audit</t>
        </is>
      </c>
      <c r="J97" t="inlineStr">
        <is>
          <t>Manual</t>
        </is>
      </c>
      <c r="K97" t="inlineStr">
        <is>
          <t>BLOCKED</t>
        </is>
      </c>
      <c r="L97" t="inlineStr">
        <is>
          <t>Not performed - production unreachable. The decision procedure is documented (reliable source -&gt; REVIEWABLE; otherwise MANUAL_REVIEW; never guess). Production malformed count is unknown.</t>
        </is>
      </c>
      <c r="M97" t="inlineStr">
        <is>
          <t>backend/prisma/tools/normalize-address-phone.RUNBOOK.md</t>
        </is>
      </c>
      <c r="N97" t="inlineStr">
        <is>
          <t>2026-09-04</t>
        </is>
      </c>
      <c r="O97" t="inlineStr">
        <is>
          <t>In shared dev exactly one malformed row exists and has no source of truth; it remains quarantined.</t>
        </is>
      </c>
    </row>
    <row r="98">
      <c r="A98" t="inlineStr">
        <is>
          <t>PHONE-PROD-005</t>
        </is>
      </c>
      <c r="B98" t="inlineStr">
        <is>
          <t>Prod Readiness</t>
        </is>
      </c>
      <c r="C98" t="inlineStr">
        <is>
          <t>Address</t>
        </is>
      </c>
      <c r="D98" t="inlineStr">
        <is>
          <t>Production dependency impact verified</t>
        </is>
      </c>
      <c r="E98" t="inlineStr">
        <is>
          <t>Repository schema and application code</t>
        </is>
      </c>
      <c r="F98" t="inlineStr">
        <is>
          <t>Trace phone storage and read paths across Order, Shipment and NotificationOutbox</t>
        </is>
      </c>
      <c r="G98" t="inlineStr">
        <is>
          <t>No phone snapshots outside Address; shipment reads the relation dynamically</t>
        </is>
      </c>
      <c r="H98" t="inlineStr">
        <is>
          <t>P0</t>
        </is>
      </c>
      <c r="I98" t="inlineStr">
        <is>
          <t>Audit</t>
        </is>
      </c>
      <c r="J98" t="inlineStr">
        <is>
          <t>Manual</t>
        </is>
      </c>
      <c r="K98" t="inlineStr">
        <is>
          <t>PASS</t>
        </is>
      </c>
      <c r="L98" t="inlineStr">
        <is>
          <t>Order stores a phone snapshot: NO. Shipment stores a phone snapshot: NO. NotificationOutbox.recipient is a send-time snapshot: YES (frozen, untouched by the backfill). shipment.service.ts:232 sets destination.phone = order.address.phone, read dynamically - so future bookings see the canonical value with no migration, while notification history stays truthful. Verified end-to-end in shared dev on a row carrying 1 order and 1 shipment.</t>
        </is>
      </c>
      <c r="M98" t="inlineStr">
        <is>
          <t>prisma/schema.prisma; src/modules/shipment/shipment.service.ts:232; downstream-verify.js on shared dev (read-only)</t>
        </is>
      </c>
      <c r="N98" t="inlineStr">
        <is>
          <t>2026-09-04</t>
        </is>
      </c>
      <c r="O98" t="inlineStr">
        <is>
          <t>This trace is repo- and dev-based and does not depend on production connectivity.</t>
        </is>
      </c>
    </row>
    <row r="99">
      <c r="A99" t="inlineStr">
        <is>
          <t>PHONE-PROD-006</t>
        </is>
      </c>
      <c r="B99" t="inlineStr">
        <is>
          <t>Prod Readiness</t>
        </is>
      </c>
      <c r="C99" t="inlineStr">
        <is>
          <t>Address</t>
        </is>
      </c>
      <c r="D99" t="inlineStr">
        <is>
          <t>Production candidate set generated</t>
        </is>
      </c>
      <c r="E99" t="inlineStr">
        <is>
          <t>Production classification available</t>
        </is>
      </c>
      <c r="F99" t="inlineStr">
        <is>
          <t>Emit a reviewable candidate set with masked values and proposed actions</t>
        </is>
      </c>
      <c r="G99" t="inlineStr">
        <is>
          <t>SAFE_NORMALIZE / MANUAL_REVIEW / NO_ACTION per row</t>
        </is>
      </c>
      <c r="H99" t="inlineStr">
        <is>
          <t>P0</t>
        </is>
      </c>
      <c r="I99" t="inlineStr">
        <is>
          <t>Audit</t>
        </is>
      </c>
      <c r="J99" t="inlineStr">
        <is>
          <t>Manual</t>
        </is>
      </c>
      <c r="K99" t="inlineStr">
        <is>
          <t>BLOCKED</t>
        </is>
      </c>
      <c r="L99" t="inlineStr">
        <is>
          <t>Not generated - production unreachable. The candidate-set format is specified in runbook section A. No allowlist can exist until the on-host audit produces real IDs.</t>
        </is>
      </c>
      <c r="M99" t="inlineStr">
        <is>
          <t>backend/prisma/tools/normalize-address-phone.RUNBOOK.md</t>
        </is>
      </c>
      <c r="N99" t="inlineStr">
        <is>
          <t>2026-09-04</t>
        </is>
      </c>
      <c r="O99" t="inlineStr">
        <is>
          <t>Class B rows are explicitly NOT auto-approved: a data owner reviews the set before any allowlist is agreed.</t>
        </is>
      </c>
    </row>
    <row r="100">
      <c r="A100" t="inlineStr">
        <is>
          <t>PHONE-PROD-007</t>
        </is>
      </c>
      <c r="B100" t="inlineStr">
        <is>
          <t>Prod Readiness</t>
        </is>
      </c>
      <c r="C100" t="inlineStr">
        <is>
          <t>Address</t>
        </is>
      </c>
      <c r="D100" t="inlineStr">
        <is>
          <t>No full phone numbers exposed in report</t>
        </is>
      </c>
      <c r="E100" t="inlineStr">
        <is>
          <t>Audit and reporting performed</t>
        </is>
      </c>
      <c r="F100" t="inlineStr">
        <is>
          <t>Review every console output, artifact and report produced this phase</t>
        </is>
      </c>
      <c r="G100" t="inlineStr">
        <is>
          <t>No complete phone number anywhere; no secrets printed</t>
        </is>
      </c>
      <c r="H100" t="inlineStr">
        <is>
          <t>P0</t>
        </is>
      </c>
      <c r="I100" t="inlineStr">
        <is>
          <t>Audit</t>
        </is>
      </c>
      <c r="J100" t="inlineStr">
        <is>
          <t>Manual</t>
        </is>
      </c>
      <c r="K100" t="inlineStr">
        <is>
          <t>PASS</t>
        </is>
      </c>
      <c r="L100" t="inlineStr">
        <is>
          <t>All phone output uses maskPhone() (628****1234). Snapshots on disk store SHA-256 fingerprints, not plaintext. No DATABASE_URL, password, API key or JWT secret was printed: the production host was reported only as a shape (length, dot count) and a masked string; production.env was read for KEY NAMES only.</t>
        </is>
      </c>
      <c r="M100" t="inlineStr">
        <is>
          <t>Console transcripts of this phase; snapshot-addresses.js (fingerprints only)</t>
        </is>
      </c>
      <c r="N100" t="inlineStr">
        <is>
          <t>2026-09-04</t>
        </is>
      </c>
      <c r="O100" t="inlineStr">
        <is>
          <t>The one place plaintext is unavoidable is the targeted rollback snapshot, which is flagged as PII in runbook section B.</t>
        </is>
      </c>
    </row>
    <row r="101">
      <c r="A101" t="inlineStr">
        <is>
          <t>PHONE-PROD-008</t>
        </is>
      </c>
      <c r="B101" t="inlineStr">
        <is>
          <t>Prod Readiness</t>
        </is>
      </c>
      <c r="C101" t="inlineStr">
        <is>
          <t>Address</t>
        </is>
      </c>
      <c r="D101" t="inlineStr">
        <is>
          <t>Backup requirements documented</t>
        </is>
      </c>
      <c r="E101" t="inlineStr">
        <is>
          <t>scripts/backup/RUNBOOK.md available</t>
        </is>
      </c>
      <c r="F101" t="inlineStr">
        <is>
          <t>Derive the backup preconditions for a production data mutation and check them</t>
        </is>
      </c>
      <c r="G101" t="inlineStr">
        <is>
          <t>Requirements documented; gaps identified honestly</t>
        </is>
      </c>
      <c r="H101" t="inlineStr">
        <is>
          <t>P0</t>
        </is>
      </c>
      <c r="I101" t="inlineStr">
        <is>
          <t>Audit</t>
        </is>
      </c>
      <c r="J101" t="inlineStr">
        <is>
          <t>Manual</t>
        </is>
      </c>
      <c r="K101" t="inlineStr">
        <is>
          <t>PASS</t>
        </is>
      </c>
      <c r="L101" t="inlineStr">
        <is>
          <t>Documented in runbook section B: full verified MySQL backup (RUNBOOK.md 4-5), key from an approved store and ESCROWED OFF-HOST (6), decryption of the actual artifact tested, targeted Address snapshot (id, original phone, original updatedAt, userId), PITR confirmed or its absence accepted. THREE GAPS BLOCK EXECUTION: F6 (temporary local key, no escrow -&gt; restore scenario H is UNRECOVERABLE), H1 (no off-server copy -&gt; scenario F NOT PROVEN), and scenario A cutover UNPROVEN - which is exactly the path a bad backfill would need.</t>
        </is>
      </c>
      <c r="M101" t="inlineStr">
        <is>
          <t>scripts/backup/RUNBOOK.md sections 4-8 + backend/prisma/tools/normalize-address-phone.RUNBOOK.md</t>
        </is>
      </c>
      <c r="N101" t="inlineStr">
        <is>
          <t>2026-09-04</t>
        </is>
      </c>
      <c r="O101" t="inlineStr">
        <is>
          <t>No backup was created in this phase; nothing was dumped, locked or written.</t>
        </is>
      </c>
    </row>
    <row r="102">
      <c r="A102" t="inlineStr">
        <is>
          <t>PHONE-PROD-009</t>
        </is>
      </c>
      <c r="B102" t="inlineStr">
        <is>
          <t>Prod Readiness</t>
        </is>
      </c>
      <c r="C102" t="inlineStr">
        <is>
          <t>Address</t>
        </is>
      </c>
      <c r="D102" t="inlineStr">
        <is>
          <t>Explicit ID allowlist execution design</t>
        </is>
      </c>
      <c r="E102" t="inlineStr">
        <is>
          <t>Tool supports --target and --ids</t>
        </is>
      </c>
      <c r="F102" t="inlineStr">
        <is>
          <t>Design the future production sequence around an explicit reviewed allowlist</t>
        </is>
      </c>
      <c r="G102" t="inlineStr">
        <is>
          <t>17-step sequence; pattern-based UPDATE explicitly forbidden</t>
        </is>
      </c>
      <c r="H102" t="inlineStr">
        <is>
          <t>P0</t>
        </is>
      </c>
      <c r="I102" t="inlineStr">
        <is>
          <t>Audit</t>
        </is>
      </c>
      <c r="J102" t="inlineStr">
        <is>
          <t>Manual</t>
        </is>
      </c>
      <c r="K102" t="inlineStr">
        <is>
          <t>PASS</t>
        </is>
      </c>
      <c r="L102" t="inlineStr">
        <is>
          <t>Runbook section C documents the full sequence: identity check, backup+verify, targeted snapshot, dry run, human approval, transactional apply with explicit --ids, affected-row assertion, post-condition, immutability, downstream and idempotency verification. "UPDATE Address SET phone=... WHERE phone LIKE" is called out as FORBIDDEN. All commands marked NOT EXECUTED.</t>
        </is>
      </c>
      <c r="M102" t="inlineStr">
        <is>
          <t>backend/prisma/tools/normalize-address-phone.RUNBOOK.md</t>
        </is>
      </c>
      <c r="N102" t="inlineStr">
        <is>
          <t>2026-09-04</t>
        </is>
      </c>
      <c r="O102" t="inlineStr">
        <is>
          <t>The tool already refuses to bulk-update a shared database at all - an explicit allowlist is structurally required, not merely recommended.</t>
        </is>
      </c>
    </row>
    <row r="103">
      <c r="A103" t="inlineStr">
        <is>
          <t>PHONE-PROD-010</t>
        </is>
      </c>
      <c r="B103" t="inlineStr">
        <is>
          <t>Prod Readiness</t>
        </is>
      </c>
      <c r="C103" t="inlineStr">
        <is>
          <t>Address</t>
        </is>
      </c>
      <c r="D103" t="inlineStr">
        <is>
          <t>CAS concurrency protection documented</t>
        </is>
      </c>
      <c r="E103" t="inlineStr">
        <is>
          <t>Tool implements compare-and-set</t>
        </is>
      </c>
      <c r="F103" t="inlineStr">
        <is>
          <t>Verify the CAS predicate and its failure behaviour, and document concurrency risks</t>
        </is>
      </c>
      <c r="G103" t="inlineStr">
        <is>
          <t>CAS on the old value; affected rows != expected aborts the transaction</t>
        </is>
      </c>
      <c r="H103" t="inlineStr">
        <is>
          <t>P0</t>
        </is>
      </c>
      <c r="I103" t="inlineStr">
        <is>
          <t>Audit</t>
        </is>
      </c>
      <c r="J103" t="inlineStr">
        <is>
          <t>Manual</t>
        </is>
      </c>
      <c r="K103" t="inlineStr">
        <is>
          <t>PASS</t>
        </is>
      </c>
      <c r="L103" t="inlineStr">
        <is>
          <t>Apply uses WHERE id = ? AND phone = &lt;original&gt; with an in-transaction affected-row assertion. Proven in 61AG.3.22: forcing a CAS miss after one row had already been updated rolled that row back and committed nothing. Covers concurrent customer edits and a concurrent second backfill run - both make the CAS miss and abort.</t>
        </is>
      </c>
      <c r="M103" t="inlineStr">
        <is>
          <t>normalize-address-phone.verify.ts guard matrix on disposable MySQL 8.4 + source review of normalize-address-phone.ts; runbook section E rows 8-9</t>
        </is>
      </c>
      <c r="N103" t="inlineStr">
        <is>
          <t>2026-09-04</t>
        </is>
      </c>
    </row>
    <row r="104">
      <c r="A104" t="inlineStr">
        <is>
          <t>PHONE-PROD-011</t>
        </is>
      </c>
      <c r="B104" t="inlineStr">
        <is>
          <t>Prod Readiness</t>
        </is>
      </c>
      <c r="C104" t="inlineStr">
        <is>
          <t>Address</t>
        </is>
      </c>
      <c r="D104" t="inlineStr">
        <is>
          <t>Rollback strategy documented</t>
        </is>
      </c>
      <c r="E104" t="inlineStr">
        <is>
          <t>Backfill design understood</t>
        </is>
      </c>
      <c r="F104" t="inlineStr">
        <is>
          <t>Document pre-commit, post-commit and last-resort recovery</t>
        </is>
      </c>
      <c r="G104" t="inlineStr">
        <is>
          <t>Three tiers documented, including honest updatedAt behaviour</t>
        </is>
      </c>
      <c r="H104" t="inlineStr">
        <is>
          <t>P0</t>
        </is>
      </c>
      <c r="I104" t="inlineStr">
        <is>
          <t>Audit</t>
        </is>
      </c>
      <c r="J104" t="inlineStr">
        <is>
          <t>Manual</t>
        </is>
      </c>
      <c r="K104" t="inlineStr">
        <is>
          <t>PASS</t>
        </is>
      </c>
      <c r="L104" t="inlineStr">
        <is>
          <t>Runbook section D. D.1 pre-commit: automatic transaction rollback, proven. D.2 post-commit: targeted per-row compensation with reverse CAS (WHERE id AND phone = canonical), affected rows must be 1 or STOP. D.3 last resort: full restore into scratch then cut over. Explicitly documented that rollback does NOT restore updatedAt - a rollback is another write and moves it again; restoring it would falsify the audit trail. The decision is to be recorded before execution, not discovered after.</t>
        </is>
      </c>
      <c r="M104" t="inlineStr">
        <is>
          <t>backend/prisma/tools/normalize-address-phone.RUNBOOK.md</t>
        </is>
      </c>
      <c r="N104" t="inlineStr">
        <is>
          <t>2026-09-04</t>
        </is>
      </c>
      <c r="O104" t="inlineStr">
        <is>
          <t>Recommended default is to leave updatedAt moved, since nothing reads Address.updatedAt (the CAS guards are on AdminRole and Shipment).</t>
        </is>
      </c>
    </row>
    <row r="105">
      <c r="A105" t="inlineStr">
        <is>
          <t>PHONE-PROD-012</t>
        </is>
      </c>
      <c r="B105" t="inlineStr">
        <is>
          <t>Prod Readiness</t>
        </is>
      </c>
      <c r="C105" t="inlineStr">
        <is>
          <t>Address</t>
        </is>
      </c>
      <c r="D105" t="inlineStr">
        <is>
          <t>Duplicate-phone collision analysis</t>
        </is>
      </c>
      <c r="E105" t="inlineStr">
        <is>
          <t>Production classification available</t>
        </is>
      </c>
      <c r="F105" t="inlineStr">
        <is>
          <t>Count duplicate canonical values before and after proposed normalisation</t>
        </is>
      </c>
      <c r="G105" t="inlineStr">
        <is>
          <t>Pre-existing vs newly introduced duplicate counts for production</t>
        </is>
      </c>
      <c r="H105" t="inlineStr">
        <is>
          <t>P0</t>
        </is>
      </c>
      <c r="I105" t="inlineStr">
        <is>
          <t>Audit</t>
        </is>
      </c>
      <c r="J105" t="inlineStr">
        <is>
          <t>Manual</t>
        </is>
      </c>
      <c r="K105" t="inlineStr">
        <is>
          <t>BLOCKED</t>
        </is>
      </c>
      <c r="L105" t="inlineStr">
        <is>
          <t>PRODUCTION UNMEASURED - unreachable. The analysis method was built and run against shared dev: 7 rows, 6 distinct values before and after; 1 duplicate group (two addresses of the SAME user, byte-identical before normalisation) -&gt; pre-existing, NOT introduced. Newly introduced collisions in dev: 0. Confirmed there is NO unique index on Address.phone (only userId+isDefault, deletedAt and the PK), so a collision cannot fail the write.</t>
        </is>
      </c>
      <c r="M105" t="inlineStr">
        <is>
          <t>Read-only fingerprint analysis of shared dev pre/post snapshots (61AG.3.22); migration DDL index review</t>
        </is>
      </c>
      <c r="N105" t="inlineStr">
        <is>
          <t>2026-09-04</t>
        </is>
      </c>
      <c r="O105" t="inlineStr">
        <is>
          <t>Production counts may differ: merging 08.../62.../+62... forms can create duplicates that dev does not exhibit. Reported, not enforced - no schema change, no user merge.</t>
        </is>
      </c>
    </row>
    <row r="106">
      <c r="A106" t="inlineStr">
        <is>
          <t>PHONE-PROD-013</t>
        </is>
      </c>
      <c r="B106" t="inlineStr">
        <is>
          <t>Prod Readiness</t>
        </is>
      </c>
      <c r="C106" t="inlineStr">
        <is>
          <t>Address</t>
        </is>
      </c>
      <c r="D106" t="inlineStr">
        <is>
          <t>Production write guard remains active</t>
        </is>
      </c>
      <c r="E106" t="inlineStr">
        <is>
          <t>Tool reviewed this phase</t>
        </is>
      </c>
      <c r="F106" t="inlineStr">
        <is>
          <t>Assert production is refused under every argument combination; confirm no bypass was added</t>
        </is>
      </c>
      <c r="G106" t="inlineStr">
        <is>
          <t>Production refused unconditionally; no bypass introduced</t>
        </is>
      </c>
      <c r="H106" t="inlineStr">
        <is>
          <t>P0</t>
        </is>
      </c>
      <c r="I106" t="inlineStr">
        <is>
          <t>Audit</t>
        </is>
      </c>
      <c r="J106" t="inlineStr">
        <is>
          <t>Manual</t>
        </is>
      </c>
      <c r="K106" t="inlineStr">
        <is>
          <t>PASS</t>
        </is>
      </c>
      <c r="L106" t="inlineStr">
        <is>
          <t>Guard matrix 8/8: production refused on a bare --apply AND with a full --target + --ids approved-run argument set. Shared dev refused when either half of the confirmation is missing or --target names a different database. Non-disposable names refused even with both. NODE_ENV=production refused even against a disposable name. Source review confirms all 12 required properties (dry-run default, guard before first read, normalizeIndonesianMobile, CAS, transaction, affected-row assertion, post-condition, quarantine of malformed). NO production bypass was added in this phase - it is documented as a required FUTURE change (runbook C.0).</t>
        </is>
      </c>
      <c r="M106" t="inlineStr">
        <is>
          <t>normalize-address-phone.verify.ts guard matrix on disposable MySQL 8.4 + source review of normalize-address-phone.ts</t>
        </is>
      </c>
      <c r="N106" t="inlineStr">
        <is>
          <t>2026-09-04</t>
        </is>
      </c>
      <c r="O106" t="inlineStr">
        <is>
          <t>The tool imports only @prisma/client and phone.util - no HTTP, queue or cache client. The single regex hit for network terms is the literal string PAXELBOX in the ticket header.</t>
        </is>
      </c>
    </row>
    <row r="107">
      <c r="A107" t="inlineStr">
        <is>
          <t>PHONE-PROD-014</t>
        </is>
      </c>
      <c r="B107" t="inlineStr">
        <is>
          <t>Prod Readiness</t>
        </is>
      </c>
      <c r="C107" t="inlineStr">
        <is>
          <t>Address</t>
        </is>
      </c>
      <c r="D107" t="inlineStr">
        <is>
          <t>Production read-only proof</t>
        </is>
      </c>
      <c r="E107" t="inlineStr">
        <is>
          <t>Phase complete</t>
        </is>
      </c>
      <c r="F107" t="inlineStr">
        <is>
          <t>Prove no production write, insert, delete or schema mutation occurred</t>
        </is>
      </c>
      <c r="G107" t="inlineStr">
        <is>
          <t>Production writes = 0</t>
        </is>
      </c>
      <c r="H107" t="inlineStr">
        <is>
          <t>P0</t>
        </is>
      </c>
      <c r="I107" t="inlineStr">
        <is>
          <t>Audit</t>
        </is>
      </c>
      <c r="J107" t="inlineStr">
        <is>
          <t>Manual</t>
        </is>
      </c>
      <c r="K107" t="inlineStr">
        <is>
          <t>PASS</t>
        </is>
      </c>
      <c r="L107" t="inlineStr">
        <is>
          <t>Production writes = 0, provable by construction: no connection to production was ever opened. The host does not resolve (getaddrinfo fails) and 3306 is not published to any host, so no statement of any kind could reach it. No mysqldump, no migration, no schema alteration. The only databases written this phase were disposable testcontainers created and destroyed by the regression suites.</t>
        </is>
      </c>
      <c r="M107" t="inlineStr">
        <is>
          <t>Read-only inspection of production.env key names and docker-compose.production.yml; DNS resolution probe; no values printed; DNS probe; docker-compose.production.yml line 49</t>
        </is>
      </c>
      <c r="N107" t="inlineStr">
        <is>
          <t>2026-09-04</t>
        </is>
      </c>
      <c r="O107" t="inlineStr">
        <is>
          <t>Shared dev was read but not written in this phase.</t>
        </is>
      </c>
    </row>
    <row r="108">
      <c r="A108" t="inlineStr">
        <is>
          <t>PHONE-PROD-015</t>
        </is>
      </c>
      <c r="B108" t="inlineStr">
        <is>
          <t>Prod Readiness</t>
        </is>
      </c>
      <c r="C108" t="inlineStr">
        <is>
          <t>Address</t>
        </is>
      </c>
      <c r="D108" t="inlineStr">
        <is>
          <t>External calls = zero</t>
        </is>
      </c>
      <c r="E108" t="inlineStr">
        <is>
          <t>Phase complete</t>
        </is>
      </c>
      <c r="F108" t="inlineStr">
        <is>
          <t>Audit external call surface and regression stub counters</t>
        </is>
      </c>
      <c r="G108" t="inlineStr">
        <is>
          <t>Google/Paxel/JNE/RajaOngkir/Qontak/payment/courier/Redis/RabbitMQ all zero</t>
        </is>
      </c>
      <c r="H108" t="inlineStr">
        <is>
          <t>P0</t>
        </is>
      </c>
      <c r="I108" t="inlineStr">
        <is>
          <t>Audit</t>
        </is>
      </c>
      <c r="J108" t="inlineStr">
        <is>
          <t>Manual</t>
        </is>
      </c>
      <c r="K108" t="inlineStr">
        <is>
          <t>PASS</t>
        </is>
      </c>
      <c r="L108" t="inlineStr">
        <is>
          <t>All zero. No API call, queue message or notification was issued. Regression stub counters confirm real calls 0: isolated E2E stack google=2/paxel=8 stub-only with the container destroyed; GEO API runner 17 stub invocations / 0 real. The backfill tool has no network surface at all.</t>
        </is>
      </c>
      <c r="M108" t="inlineStr">
        <is>
          <t>Isolated E2E teardown counters; tc-api-runner and phone-api-runner output</t>
        </is>
      </c>
      <c r="N108" t="inlineStr">
        <is>
          <t>2026-09-04</t>
        </is>
      </c>
    </row>
    <row r="109">
      <c r="A109" t="inlineStr">
        <is>
          <t>BF-001</t>
        </is>
      </c>
      <c r="B109" t="inlineStr">
        <is>
          <t>Business Flow Audit</t>
        </is>
      </c>
      <c r="C109" t="inlineStr">
        <is>
          <t>Customer Journey</t>
        </is>
      </c>
      <c r="D109" t="inlineStr">
        <is>
          <t>Customer login to catalog</t>
        </is>
      </c>
      <c r="E109" t="inlineStr">
        <is>
          <t>Local repository + disposable MySQL only</t>
        </is>
      </c>
      <c r="F109" t="inlineStr">
        <is>
          <t>Trace implementation; execute only on a disposable database</t>
        </is>
      </c>
      <c r="G109" t="inlineStr">
        <is>
          <t>Behaviour matches the intended business rule</t>
        </is>
      </c>
      <c r="H109" t="inlineStr">
        <is>
          <t>P0</t>
        </is>
      </c>
      <c r="I109" t="inlineStr">
        <is>
          <t>Audit</t>
        </is>
      </c>
      <c r="J109" t="inlineStr">
        <is>
          <t>Manual</t>
        </is>
      </c>
      <c r="K109" t="inlineStr">
        <is>
          <t>AUDIT_ONLY</t>
        </is>
      </c>
      <c r="L109" t="inlineStr">
        <is>
          <t>Cookie + bearer auth via JwtAuthGuard; httpOnly ms_access/ms_refresh cookies (auth-cookies.config.ts). Catalog is public. Covered by Playwright AUTH-001/004/009/010 and CF-001/002 under the isolated stack.</t>
        </is>
      </c>
      <c r="M109" t="inlineStr">
        <is>
          <t>Source trace (read-only); Playwright auth/customer specs</t>
        </is>
      </c>
      <c r="N109" t="inlineStr">
        <is>
          <t>2026-09-04</t>
        </is>
      </c>
      <c r="O109" t="inlineStr">
        <is>
          <t>Journey step implemented and partly covered.</t>
        </is>
      </c>
    </row>
    <row r="110">
      <c r="A110" t="inlineStr">
        <is>
          <t>BF-002</t>
        </is>
      </c>
      <c r="B110" t="inlineStr">
        <is>
          <t>Business Flow Audit</t>
        </is>
      </c>
      <c r="C110" t="inlineStr">
        <is>
          <t>Customer Journey</t>
        </is>
      </c>
      <c r="D110" t="inlineStr">
        <is>
          <t>Catalog to product detail</t>
        </is>
      </c>
      <c r="E110" t="inlineStr">
        <is>
          <t>Local repository + disposable MySQL only</t>
        </is>
      </c>
      <c r="F110" t="inlineStr">
        <is>
          <t>Trace implementation; execute only on a disposable database</t>
        </is>
      </c>
      <c r="G110" t="inlineStr">
        <is>
          <t>Behaviour matches the intended business rule</t>
        </is>
      </c>
      <c r="H110" t="inlineStr">
        <is>
          <t>P0</t>
        </is>
      </c>
      <c r="I110" t="inlineStr">
        <is>
          <t>Audit</t>
        </is>
      </c>
      <c r="J110" t="inlineStr">
        <is>
          <t>Manual</t>
        </is>
      </c>
      <c r="K110" t="inlineStr">
        <is>
          <t>AUDIT_ONLY</t>
        </is>
      </c>
      <c r="L110" t="inlineStr">
        <is>
          <t>CatalogController public read paths; CF-005/CF-006 exist but are not runnable under the isolated harness (it seeds one product, e2e-product, not the shared-dev catalog).</t>
        </is>
      </c>
      <c r="M110" t="inlineStr">
        <is>
          <t>Source trace (read-only)</t>
        </is>
      </c>
      <c r="N110" t="inlineStr">
        <is>
          <t>2026-09-04</t>
        </is>
      </c>
      <c r="O110" t="inlineStr">
        <is>
          <t>Coverage gap is harness fixtures, not implementation.</t>
        </is>
      </c>
    </row>
    <row r="111">
      <c r="A111" t="inlineStr">
        <is>
          <t>BF-003</t>
        </is>
      </c>
      <c r="B111" t="inlineStr">
        <is>
          <t>Business Flow Audit</t>
        </is>
      </c>
      <c r="C111" t="inlineStr">
        <is>
          <t>Customer Journey</t>
        </is>
      </c>
      <c r="D111" t="inlineStr">
        <is>
          <t>Product to cart</t>
        </is>
      </c>
      <c r="E111" t="inlineStr">
        <is>
          <t>Local repository + disposable MySQL only</t>
        </is>
      </c>
      <c r="F111" t="inlineStr">
        <is>
          <t>Trace implementation; execute only on a disposable database</t>
        </is>
      </c>
      <c r="G111" t="inlineStr">
        <is>
          <t>Behaviour matches the intended business rule</t>
        </is>
      </c>
      <c r="H111" t="inlineStr">
        <is>
          <t>P0</t>
        </is>
      </c>
      <c r="I111" t="inlineStr">
        <is>
          <t>Audit</t>
        </is>
      </c>
      <c r="J111" t="inlineStr">
        <is>
          <t>Manual</t>
        </is>
      </c>
      <c r="K111" t="inlineStr">
        <is>
          <t>AUDIT_ONLY</t>
        </is>
      </c>
      <c r="L111" t="inlineStr">
        <is>
          <t>Cart is CLIENT-SIDE (frontend/lib/stores/cart-store.ts). The only backend cart route is POST /cart/sessions, which is never called by the frontend. Checkout receives items in the request body instead.</t>
        </is>
      </c>
      <c r="M111" t="inlineStr">
        <is>
          <t>Source trace (read-only)</t>
        </is>
      </c>
      <c r="N111" t="inlineStr">
        <is>
          <t>2026-09-04</t>
        </is>
      </c>
      <c r="O111" t="inlineStr">
        <is>
          <t>See BF-004 for the server-side consequence.</t>
        </is>
      </c>
    </row>
    <row r="112">
      <c r="A112" t="inlineStr">
        <is>
          <t>BF-004</t>
        </is>
      </c>
      <c r="B112" t="inlineStr">
        <is>
          <t>Business Flow Audit</t>
        </is>
      </c>
      <c r="C112" t="inlineStr">
        <is>
          <t>Customer Journey</t>
        </is>
      </c>
      <c r="D112" t="inlineStr">
        <is>
          <t>Cart quantity validation</t>
        </is>
      </c>
      <c r="E112" t="inlineStr">
        <is>
          <t>Local repository + disposable MySQL only</t>
        </is>
      </c>
      <c r="F112" t="inlineStr">
        <is>
          <t>Trace implementation; execute only on a disposable database</t>
        </is>
      </c>
      <c r="G112" t="inlineStr">
        <is>
          <t>Behaviour matches the intended business rule</t>
        </is>
      </c>
      <c r="H112" t="inlineStr">
        <is>
          <t>P0</t>
        </is>
      </c>
      <c r="I112" t="inlineStr">
        <is>
          <t>Audit</t>
        </is>
      </c>
      <c r="J112" t="inlineStr">
        <is>
          <t>Manual</t>
        </is>
      </c>
      <c r="K112" t="inlineStr">
        <is>
          <t>AUDIT_ONLY</t>
        </is>
      </c>
      <c r="L112" t="inlineStr">
        <is>
          <t>SaveCartDto validates items (@IsInt @Min(1), spicyLevel 0-5) but has NO @ArrayMaxSize. Checkout re-validates independently: normalizeItems rejects an empty cart and CreateOrderDto constrains qty.</t>
        </is>
      </c>
      <c r="M112" t="inlineStr">
        <is>
          <t>Source trace (read-only)</t>
        </is>
      </c>
      <c r="N112" t="inlineStr">
        <is>
          <t>2026-09-04</t>
        </is>
      </c>
      <c r="O112" t="inlineStr">
        <is>
          <t>Cart payload is not the checkout source of truth, which limits the impact.</t>
        </is>
      </c>
    </row>
    <row r="113">
      <c r="A113" t="inlineStr">
        <is>
          <t>BF-005</t>
        </is>
      </c>
      <c r="B113" t="inlineStr">
        <is>
          <t>Business Flow Audit</t>
        </is>
      </c>
      <c r="C113" t="inlineStr">
        <is>
          <t>Customer Journey</t>
        </is>
      </c>
      <c r="D113" t="inlineStr">
        <is>
          <t>Cart stock validation</t>
        </is>
      </c>
      <c r="E113" t="inlineStr">
        <is>
          <t>Local repository + disposable MySQL only</t>
        </is>
      </c>
      <c r="F113" t="inlineStr">
        <is>
          <t>Trace implementation; execute only on a disposable database</t>
        </is>
      </c>
      <c r="G113" t="inlineStr">
        <is>
          <t>Behaviour matches the intended business rule</t>
        </is>
      </c>
      <c r="H113" t="inlineStr">
        <is>
          <t>P0</t>
        </is>
      </c>
      <c r="I113" t="inlineStr">
        <is>
          <t>Audit</t>
        </is>
      </c>
      <c r="J113" t="inlineStr">
        <is>
          <t>Manual</t>
        </is>
      </c>
      <c r="K113" t="inlineStr">
        <is>
          <t>PASS</t>
        </is>
      </c>
      <c r="L113" t="inlineStr">
        <is>
          <t>Stock is never trusted from the client. getCartPricing re-reads products server-side (deletedAt null, status ACTIVE) and rejects unavailable ones; assertStock compares requested vs Product.stock before persistence.</t>
        </is>
      </c>
      <c r="M113" t="inlineStr">
        <is>
          <t>Source trace (read-only); orders.service.ts getCartPricing/assertStock</t>
        </is>
      </c>
      <c r="N113" t="inlineStr">
        <is>
          <t>2026-09-04</t>
        </is>
      </c>
      <c r="O113" t="inlineStr">
        <is>
          <t>Sequential validation is correct. The CONCURRENT case fails - see BF-017.</t>
        </is>
      </c>
    </row>
    <row r="114">
      <c r="A114" t="inlineStr">
        <is>
          <t>BF-006</t>
        </is>
      </c>
      <c r="B114" t="inlineStr">
        <is>
          <t>Business Flow Audit</t>
        </is>
      </c>
      <c r="C114" t="inlineStr">
        <is>
          <t>Customer Journey</t>
        </is>
      </c>
      <c r="D114" t="inlineStr">
        <is>
          <t>Address create</t>
        </is>
      </c>
      <c r="E114" t="inlineStr">
        <is>
          <t>Local repository + disposable MySQL only</t>
        </is>
      </c>
      <c r="F114" t="inlineStr">
        <is>
          <t>Trace implementation; execute only on a disposable database</t>
        </is>
      </c>
      <c r="G114" t="inlineStr">
        <is>
          <t>Behaviour matches the intended business rule</t>
        </is>
      </c>
      <c r="H114" t="inlineStr">
        <is>
          <t>P0</t>
        </is>
      </c>
      <c r="I114" t="inlineStr">
        <is>
          <t>Audit</t>
        </is>
      </c>
      <c r="J114" t="inlineStr">
        <is>
          <t>Manual</t>
        </is>
      </c>
      <c r="K114" t="inlineStr">
        <is>
          <t>PASS</t>
        </is>
      </c>
      <c r="L114" t="inlineStr">
        <is>
          <t>Server-authoritative geocoding (61AG.3.6/3.18): client coordinates are overwritten by the server-resolved pair. GEO-001/011/012 pass.</t>
        </is>
      </c>
      <c r="M114" t="inlineStr">
        <is>
          <t>GEO-001..004 Playwright + GEO-005..020 API runner</t>
        </is>
      </c>
      <c r="N114" t="inlineStr">
        <is>
          <t>2026-09-04</t>
        </is>
      </c>
      <c r="O114" t="inlineStr">
        <is>
          <t>Re-verified green this phase.</t>
        </is>
      </c>
    </row>
    <row r="115">
      <c r="A115" t="inlineStr">
        <is>
          <t>BF-007</t>
        </is>
      </c>
      <c r="B115" t="inlineStr">
        <is>
          <t>Business Flow Audit</t>
        </is>
      </c>
      <c r="C115" t="inlineStr">
        <is>
          <t>Customer Journey</t>
        </is>
      </c>
      <c r="D115" t="inlineStr">
        <is>
          <t>Address update</t>
        </is>
      </c>
      <c r="E115" t="inlineStr">
        <is>
          <t>Local repository + disposable MySQL only</t>
        </is>
      </c>
      <c r="F115" t="inlineStr">
        <is>
          <t>Trace implementation; execute only on a disposable database</t>
        </is>
      </c>
      <c r="G115" t="inlineStr">
        <is>
          <t>Behaviour matches the intended business rule</t>
        </is>
      </c>
      <c r="H115" t="inlineStr">
        <is>
          <t>P0</t>
        </is>
      </c>
      <c r="I115" t="inlineStr">
        <is>
          <t>Audit</t>
        </is>
      </c>
      <c r="J115" t="inlineStr">
        <is>
          <t>Manual</t>
        </is>
      </c>
      <c r="K115" t="inlineStr">
        <is>
          <t>PASS</t>
        </is>
      </c>
      <c r="L115" t="inlineStr">
        <is>
          <t>PATCH rejects 0,0, lone coordinates and out-of-range values; a coordinate-only update does not re-geocode; a location-field change does. GEO-005..017 pass.</t>
        </is>
      </c>
      <c r="M115" t="inlineStr">
        <is>
          <t>GEO-005..020 API runner</t>
        </is>
      </c>
      <c r="N115" t="inlineStr">
        <is>
          <t>2026-09-04</t>
        </is>
      </c>
      <c r="O115" t="inlineStr">
        <is>
          <t>Re-verified green this phase.</t>
        </is>
      </c>
    </row>
    <row r="116">
      <c r="A116" t="inlineStr">
        <is>
          <t>BF-008</t>
        </is>
      </c>
      <c r="B116" t="inlineStr">
        <is>
          <t>Business Flow Audit</t>
        </is>
      </c>
      <c r="C116" t="inlineStr">
        <is>
          <t>Customer Journey</t>
        </is>
      </c>
      <c r="D116" t="inlineStr">
        <is>
          <t>Address ownership</t>
        </is>
      </c>
      <c r="E116" t="inlineStr">
        <is>
          <t>Local repository + disposable MySQL only</t>
        </is>
      </c>
      <c r="F116" t="inlineStr">
        <is>
          <t>Trace implementation; execute only on a disposable database</t>
        </is>
      </c>
      <c r="G116" t="inlineStr">
        <is>
          <t>Behaviour matches the intended business rule</t>
        </is>
      </c>
      <c r="H116" t="inlineStr">
        <is>
          <t>P0</t>
        </is>
      </c>
      <c r="I116" t="inlineStr">
        <is>
          <t>Audit</t>
        </is>
      </c>
      <c r="J116" t="inlineStr">
        <is>
          <t>Manual</t>
        </is>
      </c>
      <c r="K116" t="inlineStr">
        <is>
          <t>PASS</t>
        </is>
      </c>
      <c r="L116" t="inlineStr">
        <is>
          <t>All customer address routes are /users/me/addresses - ownership is structural, not a check that can be forgotten. No addressId path parameter exists to tamper with. Checkout resolves the address with where {id, userId, deletedAt null}.</t>
        </is>
      </c>
      <c r="M116" t="inlineStr">
        <is>
          <t>Source trace (read-only); users.controller.ts; orders.service.ts:453</t>
        </is>
      </c>
      <c r="N116" t="inlineStr">
        <is>
          <t>2026-09-04</t>
        </is>
      </c>
      <c r="O116" t="inlineStr">
        <is>
          <t>No IDOR surface on addresses.</t>
        </is>
      </c>
    </row>
    <row r="117">
      <c r="A117" t="inlineStr">
        <is>
          <t>BF-009</t>
        </is>
      </c>
      <c r="B117" t="inlineStr">
        <is>
          <t>Business Flow Audit</t>
        </is>
      </c>
      <c r="C117" t="inlineStr">
        <is>
          <t>Customer Journey</t>
        </is>
      </c>
      <c r="D117" t="inlineStr">
        <is>
          <t>Shipping quotation</t>
        </is>
      </c>
      <c r="E117" t="inlineStr">
        <is>
          <t>Local repository + disposable MySQL only</t>
        </is>
      </c>
      <c r="F117" t="inlineStr">
        <is>
          <t>Trace implementation; execute only on a disposable database</t>
        </is>
      </c>
      <c r="G117" t="inlineStr">
        <is>
          <t>Behaviour matches the intended business rule</t>
        </is>
      </c>
      <c r="H117" t="inlineStr">
        <is>
          <t>P0</t>
        </is>
      </c>
      <c r="I117" t="inlineStr">
        <is>
          <t>Audit</t>
        </is>
      </c>
      <c r="J117" t="inlineStr">
        <is>
          <t>Manual</t>
        </is>
      </c>
      <c r="K117" t="inlineStr">
        <is>
          <t>AUDIT_ONLY</t>
        </is>
      </c>
      <c r="L117" t="inlineStr">
        <is>
          <t>POST /checkout/shipping-options is coverage-gated (resolveCoverage throws for DISABLED/PICKUP_ONLY), then quotes via the provider factory. Weight is SUM(weightGram x qty); a product with no weight is REFUSED rather than defaulted.</t>
        </is>
      </c>
      <c r="M117" t="inlineStr">
        <is>
          <t>Source trace (read-only); getShippingWeightGram</t>
        </is>
      </c>
      <c r="N117" t="inlineStr">
        <is>
          <t>2026-09-04</t>
        </is>
      </c>
      <c r="O117" t="inlineStr">
        <is>
          <t>Refusing to guess a weight is correct - a guessed weight becomes a real charge.</t>
        </is>
      </c>
    </row>
    <row r="118">
      <c r="A118" t="inlineStr">
        <is>
          <t>BF-010</t>
        </is>
      </c>
      <c r="B118" t="inlineStr">
        <is>
          <t>Business Flow Audit</t>
        </is>
      </c>
      <c r="C118" t="inlineStr">
        <is>
          <t>Customer Journey</t>
        </is>
      </c>
      <c r="D118" t="inlineStr">
        <is>
          <t>Paxel quotation</t>
        </is>
      </c>
      <c r="E118" t="inlineStr">
        <is>
          <t>Local repository + disposable MySQL only</t>
        </is>
      </c>
      <c r="F118" t="inlineStr">
        <is>
          <t>Trace implementation; execute only on a disposable database</t>
        </is>
      </c>
      <c r="G118" t="inlineStr">
        <is>
          <t>Behaviour matches the intended business rule</t>
        </is>
      </c>
      <c r="H118" t="inlineStr">
        <is>
          <t>P0</t>
        </is>
      </c>
      <c r="I118" t="inlineStr">
        <is>
          <t>Audit</t>
        </is>
      </c>
      <c r="J118" t="inlineStr">
        <is>
          <t>Manual</t>
        </is>
      </c>
      <c r="K118" t="inlineStr">
        <is>
          <t>AUDIT_ONLY</t>
        </is>
      </c>
      <c r="L118" t="inlineStr">
        <is>
          <t>Paxel transport stubbed in every run this phase; 8 stub invocations, 0 real calls. Coordinate integrity enforced upstream by the address contract, so 0,0 cannot reach a quote.</t>
        </is>
      </c>
      <c r="M118" t="inlineStr">
        <is>
          <t>Isolated E2E teardown counters</t>
        </is>
      </c>
      <c r="N118" t="inlineStr">
        <is>
          <t>2026-09-04</t>
        </is>
      </c>
      <c r="O118" t="inlineStr">
        <is>
          <t>No real provider call was made.</t>
        </is>
      </c>
    </row>
    <row r="119">
      <c r="A119" t="inlineStr">
        <is>
          <t>BF-011</t>
        </is>
      </c>
      <c r="B119" t="inlineStr">
        <is>
          <t>Business Flow Audit</t>
        </is>
      </c>
      <c r="C119" t="inlineStr">
        <is>
          <t>Customer Journey</t>
        </is>
      </c>
      <c r="D119" t="inlineStr">
        <is>
          <t>JNE native quotation</t>
        </is>
      </c>
      <c r="E119" t="inlineStr">
        <is>
          <t>Local repository + disposable MySQL only</t>
        </is>
      </c>
      <c r="F119" t="inlineStr">
        <is>
          <t>Trace implementation; execute only on a disposable database</t>
        </is>
      </c>
      <c r="G119" t="inlineStr">
        <is>
          <t>Behaviour matches the intended business rule</t>
        </is>
      </c>
      <c r="H119" t="inlineStr">
        <is>
          <t>P0</t>
        </is>
      </c>
      <c r="I119" t="inlineStr">
        <is>
          <t>Audit</t>
        </is>
      </c>
      <c r="J119" t="inlineStr">
        <is>
          <t>Manual</t>
        </is>
      </c>
      <c r="K119" t="inlineStr">
        <is>
          <t>AUDIT_ONLY</t>
        </is>
      </c>
      <c r="L119" t="inlineStr">
        <is>
          <t>JNE uses POST {base}/tracing/api/pricedev (PRICEDEV_PATH, jne.provider.ts:14). No RajaOngkir involvement in JNE quotation. Sandbox host apiv2.jne.co.id:10202 and default base :10102 are distinguished by an environment guard.</t>
        </is>
      </c>
      <c r="M119" t="inlineStr">
        <is>
          <t>Source trace (read-only); shipping.config.ts</t>
        </is>
      </c>
      <c r="N119" t="inlineStr">
        <is>
          <t>2026-09-04</t>
        </is>
      </c>
      <c r="O119" t="inlineStr">
        <is>
          <t>Matches the mandated native endpoint.</t>
        </is>
      </c>
    </row>
    <row r="120">
      <c r="A120" t="inlineStr">
        <is>
          <t>BF-012</t>
        </is>
      </c>
      <c r="B120" t="inlineStr">
        <is>
          <t>Business Flow Audit</t>
        </is>
      </c>
      <c r="C120" t="inlineStr">
        <is>
          <t>Customer Journey</t>
        </is>
      </c>
      <c r="D120" t="inlineStr">
        <is>
          <t>JNE service identity</t>
        </is>
      </c>
      <c r="E120" t="inlineStr">
        <is>
          <t>Local repository + disposable MySQL only</t>
        </is>
      </c>
      <c r="F120" t="inlineStr">
        <is>
          <t>Trace implementation; execute only on a disposable database</t>
        </is>
      </c>
      <c r="G120" t="inlineStr">
        <is>
          <t>Behaviour matches the intended business rule</t>
        </is>
      </c>
      <c r="H120" t="inlineStr">
        <is>
          <t>P0</t>
        </is>
      </c>
      <c r="I120" t="inlineStr">
        <is>
          <t>Audit</t>
        </is>
      </c>
      <c r="J120" t="inlineStr">
        <is>
          <t>Manual</t>
        </is>
      </c>
      <c r="K120" t="inlineStr">
        <is>
          <t>AUDIT_ONLY</t>
        </is>
      </c>
      <c r="L120" t="inlineStr">
        <is>
          <t>Order persists shippingProvider, shippingService, shippingServiceName and a full shippingPayload snapshot, so options are distinguished by provider + service code rather than display label alone.</t>
        </is>
      </c>
      <c r="M120" t="inlineStr">
        <is>
          <t>Source trace (read-only); persistOrderOnce</t>
        </is>
      </c>
      <c r="N120" t="inlineStr">
        <is>
          <t>2026-09-04</t>
        </is>
      </c>
      <c r="O120" t="inlineStr">
        <is>
          <t>Snapshot also protects order history from later catalogue edits.</t>
        </is>
      </c>
    </row>
    <row r="121">
      <c r="A121" t="inlineStr">
        <is>
          <t>BF-013</t>
        </is>
      </c>
      <c r="B121" t="inlineStr">
        <is>
          <t>Business Flow Audit</t>
        </is>
      </c>
      <c r="C121" t="inlineStr">
        <is>
          <t>Customer Journey</t>
        </is>
      </c>
      <c r="D121" t="inlineStr">
        <is>
          <t>Checkout price authority</t>
        </is>
      </c>
      <c r="E121" t="inlineStr">
        <is>
          <t>Local repository + disposable MySQL only</t>
        </is>
      </c>
      <c r="F121" t="inlineStr">
        <is>
          <t>Trace implementation; execute only on a disposable database</t>
        </is>
      </c>
      <c r="G121" t="inlineStr">
        <is>
          <t>Behaviour matches the intended business rule</t>
        </is>
      </c>
      <c r="H121" t="inlineStr">
        <is>
          <t>P0</t>
        </is>
      </c>
      <c r="I121" t="inlineStr">
        <is>
          <t>Audit</t>
        </is>
      </c>
      <c r="J121" t="inlineStr">
        <is>
          <t>Manual</t>
        </is>
      </c>
      <c r="K121" t="inlineStr">
        <is>
          <t>PASS</t>
        </is>
      </c>
      <c r="L121" t="inlineStr">
        <is>
          <t>The client cannot set money. CheckoutItemDto carries only product_id, qty, topping_ids, spicyLevel, notes - there is no price field to tamper with. Prices are re-read from Product/Topping server-side and totals recomputed in getSummary.</t>
        </is>
      </c>
      <c r="M121" t="inlineStr">
        <is>
          <t>Source trace (read-only); normalizeItems/getCartPricing</t>
        </is>
      </c>
      <c r="N121" t="inlineStr">
        <is>
          <t>2026-09-04</t>
        </is>
      </c>
      <c r="O121" t="inlineStr">
        <is>
          <t>Price tampering is structurally impossible, not merely validated away.</t>
        </is>
      </c>
    </row>
    <row r="122">
      <c r="A122" t="inlineStr">
        <is>
          <t>BF-014</t>
        </is>
      </c>
      <c r="B122" t="inlineStr">
        <is>
          <t>Business Flow Audit</t>
        </is>
      </c>
      <c r="C122" t="inlineStr">
        <is>
          <t>Customer Journey</t>
        </is>
      </c>
      <c r="D122" t="inlineStr">
        <is>
          <t>Checkout shipping authority</t>
        </is>
      </c>
      <c r="E122" t="inlineStr">
        <is>
          <t>Local repository + disposable MySQL only</t>
        </is>
      </c>
      <c r="F122" t="inlineStr">
        <is>
          <t>Trace implementation; execute only on a disposable database</t>
        </is>
      </c>
      <c r="G122" t="inlineStr">
        <is>
          <t>Behaviour matches the intended business rule</t>
        </is>
      </c>
      <c r="H122" t="inlineStr">
        <is>
          <t>P0</t>
        </is>
      </c>
      <c r="I122" t="inlineStr">
        <is>
          <t>Audit</t>
        </is>
      </c>
      <c r="J122" t="inlineStr">
        <is>
          <t>Manual</t>
        </is>
      </c>
      <c r="K122" t="inlineStr">
        <is>
          <t>PASS</t>
        </is>
      </c>
      <c r="L122" t="inlineStr">
        <is>
          <t>Order.shippingCost and deliveryFee come from summary.shipping (server-side quote), not from the request body.</t>
        </is>
      </c>
      <c r="M122" t="inlineStr">
        <is>
          <t>Source trace (read-only); persistOrderOnce</t>
        </is>
      </c>
      <c r="N122" t="inlineStr">
        <is>
          <t>2026-09-04</t>
        </is>
      </c>
      <c r="O122" t="inlineStr">
        <is>
          <t>Same pattern as price.</t>
        </is>
      </c>
    </row>
    <row r="123">
      <c r="A123" t="inlineStr">
        <is>
          <t>BF-015</t>
        </is>
      </c>
      <c r="B123" t="inlineStr">
        <is>
          <t>Business Flow Audit</t>
        </is>
      </c>
      <c r="C123" t="inlineStr">
        <is>
          <t>Customer Journey</t>
        </is>
      </c>
      <c r="D123" t="inlineStr">
        <is>
          <t>Checkout stock authority</t>
        </is>
      </c>
      <c r="E123" t="inlineStr">
        <is>
          <t>Local repository + disposable MySQL only</t>
        </is>
      </c>
      <c r="F123" t="inlineStr">
        <is>
          <t>Trace implementation; execute only on a disposable database</t>
        </is>
      </c>
      <c r="G123" t="inlineStr">
        <is>
          <t>Behaviour matches the intended business rule</t>
        </is>
      </c>
      <c r="H123" t="inlineStr">
        <is>
          <t>P0</t>
        </is>
      </c>
      <c r="I123" t="inlineStr">
        <is>
          <t>Audit</t>
        </is>
      </c>
      <c r="J123" t="inlineStr">
        <is>
          <t>Manual</t>
        </is>
      </c>
      <c r="K123" t="inlineStr">
        <is>
          <t>PASS</t>
        </is>
      </c>
      <c r="L123" t="inlineStr">
        <is>
          <t>Stock is read server-side; the client supplies only quantities. Sequential over-quantity is rejected (proven: BF-017c).</t>
        </is>
      </c>
      <c r="M123" t="inlineStr">
        <is>
          <t>stock-race-runner.js on disposable MySQL 8.4 (tc_stock_race); real InventoryReservationService; container destroyed</t>
        </is>
      </c>
      <c r="N123" t="inlineStr">
        <is>
          <t>2026-09-04</t>
        </is>
      </c>
      <c r="O123" t="inlineStr">
        <is>
          <t>Concurrency is a separate matter - BF-017.</t>
        </is>
      </c>
    </row>
    <row r="124">
      <c r="A124" t="inlineStr">
        <is>
          <t>BF-016</t>
        </is>
      </c>
      <c r="B124" t="inlineStr">
        <is>
          <t>Business Flow Audit</t>
        </is>
      </c>
      <c r="C124" t="inlineStr">
        <is>
          <t>Customer Journey</t>
        </is>
      </c>
      <c r="D124" t="inlineStr">
        <is>
          <t>Order transaction integrity</t>
        </is>
      </c>
      <c r="E124" t="inlineStr">
        <is>
          <t>Local repository + disposable MySQL only</t>
        </is>
      </c>
      <c r="F124" t="inlineStr">
        <is>
          <t>Trace implementation; execute only on a disposable database</t>
        </is>
      </c>
      <c r="G124" t="inlineStr">
        <is>
          <t>Behaviour matches the intended business rule</t>
        </is>
      </c>
      <c r="H124" t="inlineStr">
        <is>
          <t>P0</t>
        </is>
      </c>
      <c r="I124" t="inlineStr">
        <is>
          <t>Audit</t>
        </is>
      </c>
      <c r="J124" t="inlineStr">
        <is>
          <t>Manual</t>
        </is>
      </c>
      <c r="K124" t="inlineStr">
        <is>
          <t>PASS</t>
        </is>
      </c>
      <c r="L124" t="inlineStr">
        <is>
          <t>One prisma.$transaction creates order, items, toppings, payment, shipment, events, voucher usage, upload token, the idempotency finalize record and the outbox event. A partial success is not reachable: any throw rolls all of it back.</t>
        </is>
      </c>
      <c r="M124" t="inlineStr">
        <is>
          <t>Source trace (read-only); persistOrderOnce</t>
        </is>
      </c>
      <c r="N124" t="inlineStr">
        <is>
          <t>2026-09-04</t>
        </is>
      </c>
      <c r="O124" t="inlineStr">
        <is>
          <t>Idempotency finalize is fenced - a superseded writer rolls the whole order back.</t>
        </is>
      </c>
    </row>
    <row r="125">
      <c r="A125" t="inlineStr">
        <is>
          <t>BF-017</t>
        </is>
      </c>
      <c r="B125" t="inlineStr">
        <is>
          <t>Business Flow Audit</t>
        </is>
      </c>
      <c r="C125" t="inlineStr">
        <is>
          <t>Customer Journey</t>
        </is>
      </c>
      <c r="D125" t="inlineStr">
        <is>
          <t>Inventory concurrency (last unit)</t>
        </is>
      </c>
      <c r="E125" t="inlineStr">
        <is>
          <t>Local repository + disposable MySQL only</t>
        </is>
      </c>
      <c r="F125" t="inlineStr">
        <is>
          <t>Trace implementation; execute only on a disposable database</t>
        </is>
      </c>
      <c r="G125" t="inlineStr">
        <is>
          <t>Behaviour matches the intended business rule</t>
        </is>
      </c>
      <c r="H125" t="inlineStr">
        <is>
          <t>P0</t>
        </is>
      </c>
      <c r="I125" t="inlineStr">
        <is>
          <t>Audit</t>
        </is>
      </c>
      <c r="J125" t="inlineStr">
        <is>
          <t>Manual</t>
        </is>
      </c>
      <c r="K125" t="inlineStr">
        <is>
          <t>PASS</t>
        </is>
      </c>
      <c r="L125" t="inlineStr">
        <is>
          <t>FIXED in 61AG.3.25. BEFORE: two concurrent reservations both won the last unit (winners=2, losers=0, available=-1), reproduced in-repo against the real service. ROOT CAUSE: reserveForOrder locked the Product row FOR UPDATE but evaluated availability against a NON-LOCKING aggregate over InventoryReservation - a different table - so under MySQL REPEATABLE READ the second transaction still read reserved=0 from its own snapshot after acquiring the product lock (write-skew). AFTER: the held quantity is read with FOR UPDATE (a current read), so the second transaction sees the winner's reservation: winners=1, losers=1 across 12 independent races. No schema change, no migration.</t>
        </is>
      </c>
      <c r="M125" t="inlineStr">
        <is>
          <t>backend/test/integration/inventory-concurrency.int-spec.ts on disposable MySQL 8.4 (Testcontainers world); real InventoryReservationService</t>
        </is>
      </c>
      <c r="N125" t="inlineStr">
        <is>
          <t>2026-09-04</t>
        </is>
      </c>
      <c r="O125" t="inlineStr">
        <is>
          <t>One query changed in src/modules/inventory/inventory-reservation.service.ts. The multi-outlet branch was already correct (it locks and reads the same ProductInventory row) and is unchanged - INV-009 proves it still passes the same race.</t>
        </is>
      </c>
    </row>
    <row r="126">
      <c r="A126" t="inlineStr">
        <is>
          <t>BF-018</t>
        </is>
      </c>
      <c r="B126" t="inlineStr">
        <is>
          <t>Business Flow Audit</t>
        </is>
      </c>
      <c r="C126" t="inlineStr">
        <is>
          <t>Customer Journey</t>
        </is>
      </c>
      <c r="D126" t="inlineStr">
        <is>
          <t>Payment creation</t>
        </is>
      </c>
      <c r="E126" t="inlineStr">
        <is>
          <t>Local repository + disposable MySQL only</t>
        </is>
      </c>
      <c r="F126" t="inlineStr">
        <is>
          <t>Trace implementation; execute only on a disposable database</t>
        </is>
      </c>
      <c r="G126" t="inlineStr">
        <is>
          <t>Behaviour matches the intended business rule</t>
        </is>
      </c>
      <c r="H126" t="inlineStr">
        <is>
          <t>P0</t>
        </is>
      </c>
      <c r="I126" t="inlineStr">
        <is>
          <t>Audit</t>
        </is>
      </c>
      <c r="J126" t="inlineStr">
        <is>
          <t>Manual</t>
        </is>
      </c>
      <c r="K126" t="inlineStr">
        <is>
          <t>PASS</t>
        </is>
      </c>
      <c r="L126" t="inlineStr">
        <is>
          <t>Payment row is created inside the checkout transaction with status PENDING. BANK_TRANSFER unique-code allocation also runs inside the transaction, so the PENDING-collision re-check cannot race a concurrent commit.</t>
        </is>
      </c>
      <c r="M126" t="inlineStr">
        <is>
          <t>Source trace (read-only); persistOrderOnce</t>
        </is>
      </c>
      <c r="N126" t="inlineStr">
        <is>
          <t>2026-09-04</t>
        </is>
      </c>
      <c r="O126" t="inlineStr">
        <is>
          <t>Unique code is added to Payment.amount only, never to order revenue.</t>
        </is>
      </c>
    </row>
    <row r="127">
      <c r="A127" t="inlineStr">
        <is>
          <t>BF-019</t>
        </is>
      </c>
      <c r="B127" t="inlineStr">
        <is>
          <t>Business Flow Audit</t>
        </is>
      </c>
      <c r="C127" t="inlineStr">
        <is>
          <t>Customer Journey</t>
        </is>
      </c>
      <c r="D127" t="inlineStr">
        <is>
          <t>Payment callback</t>
        </is>
      </c>
      <c r="E127" t="inlineStr">
        <is>
          <t>Local repository + disposable MySQL only</t>
        </is>
      </c>
      <c r="F127" t="inlineStr">
        <is>
          <t>Trace implementation; execute only on a disposable database</t>
        </is>
      </c>
      <c r="G127" t="inlineStr">
        <is>
          <t>Behaviour matches the intended business rule</t>
        </is>
      </c>
      <c r="H127" t="inlineStr">
        <is>
          <t>P0</t>
        </is>
      </c>
      <c r="I127" t="inlineStr">
        <is>
          <t>Audit</t>
        </is>
      </c>
      <c r="J127" t="inlineStr">
        <is>
          <t>Manual</t>
        </is>
      </c>
      <c r="K127" t="inlineStr">
        <is>
          <t>PASS</t>
        </is>
      </c>
      <c r="L127" t="inlineStr">
        <is>
          <t>Signature-verified (verifyMidtransSignature); invalid signature returns 401 and logs a correlator only, never the received or expected signature. The webhook body is a TRIGGER ONLY - authoritative status is re-fetched from the provider status API, because the signature covers just order_id, status_code and gross_amount.</t>
        </is>
      </c>
      <c r="M127" t="inlineStr">
        <is>
          <t>Source trace (read-only); payment-webhook.service.ts</t>
        </is>
      </c>
      <c r="N127" t="inlineStr">
        <is>
          <t>2026-09-04</t>
        </is>
      </c>
      <c r="O127" t="inlineStr">
        <is>
          <t>Strong design: an attacker who forges unsigned fields cannot drive the transition.</t>
        </is>
      </c>
    </row>
    <row r="128">
      <c r="A128" t="inlineStr">
        <is>
          <t>BF-020</t>
        </is>
      </c>
      <c r="B128" t="inlineStr">
        <is>
          <t>Business Flow Audit</t>
        </is>
      </c>
      <c r="C128" t="inlineStr">
        <is>
          <t>Customer Journey</t>
        </is>
      </c>
      <c r="D128" t="inlineStr">
        <is>
          <t>Payment idempotency</t>
        </is>
      </c>
      <c r="E128" t="inlineStr">
        <is>
          <t>Local repository + disposable MySQL only</t>
        </is>
      </c>
      <c r="F128" t="inlineStr">
        <is>
          <t>Trace implementation; execute only on a disposable database</t>
        </is>
      </c>
      <c r="G128" t="inlineStr">
        <is>
          <t>Behaviour matches the intended business rule</t>
        </is>
      </c>
      <c r="H128" t="inlineStr">
        <is>
          <t>P0</t>
        </is>
      </c>
      <c r="I128" t="inlineStr">
        <is>
          <t>Audit</t>
        </is>
      </c>
      <c r="J128" t="inlineStr">
        <is>
          <t>Manual</t>
        </is>
      </c>
      <c r="K128" t="inlineStr">
        <is>
          <t>PASS</t>
        </is>
      </c>
      <c r="L128" t="inlineStr">
        <is>
          <t>Recorded and deduplicated by a unique index in one transaction. The 200 body is deliberately flat and identical for applied/duplicate/superseded/unknown, so the endpoint cannot be used to enumerate orders or probe whether a notification was already seen.</t>
        </is>
      </c>
      <c r="M128" t="inlineStr">
        <is>
          <t>Source trace (read-only); existing payment-webhook-idempotency.int-spec.ts</t>
        </is>
      </c>
      <c r="N128" t="inlineStr">
        <is>
          <t>2026-09-04</t>
        </is>
      </c>
      <c r="O128" t="inlineStr">
        <is>
          <t>ThrottlerGuard is skipped for this route only, to survive legitimate retry storms.</t>
        </is>
      </c>
    </row>
    <row r="129">
      <c r="A129" t="inlineStr">
        <is>
          <t>BF-021</t>
        </is>
      </c>
      <c r="B129" t="inlineStr">
        <is>
          <t>Business Flow Audit</t>
        </is>
      </c>
      <c r="C129" t="inlineStr">
        <is>
          <t>Customer Journey</t>
        </is>
      </c>
      <c r="D129" t="inlineStr">
        <is>
          <t>Order creation idempotency</t>
        </is>
      </c>
      <c r="E129" t="inlineStr">
        <is>
          <t>Local repository + disposable MySQL only</t>
        </is>
      </c>
      <c r="F129" t="inlineStr">
        <is>
          <t>Trace implementation; execute only on a disposable database</t>
        </is>
      </c>
      <c r="G129" t="inlineStr">
        <is>
          <t>Behaviour matches the intended business rule</t>
        </is>
      </c>
      <c r="H129" t="inlineStr">
        <is>
          <t>P0</t>
        </is>
      </c>
      <c r="I129" t="inlineStr">
        <is>
          <t>Audit</t>
        </is>
      </c>
      <c r="J129" t="inlineStr">
        <is>
          <t>Manual</t>
        </is>
      </c>
      <c r="K129" t="inlineStr">
        <is>
          <t>PASS</t>
        </is>
      </c>
      <c r="L129" t="inlineStr">
        <is>
          <t>Idempotency-Key validated (charset, length, non-empty) and optionally required. begin/finalize with a FENCE TOKEN; replay returns the stored response with Idempotent-Replayed: true; concurrent same-key returns 409 with Retry-After; a reused key with a different body returns 422. Finalize commits in the SAME transaction as the order.</t>
        </is>
      </c>
      <c r="M129" t="inlineStr">
        <is>
          <t>Source trace (read-only); test/unit/checkout-idempotency.spec.ts</t>
        </is>
      </c>
      <c r="N129" t="inlineStr">
        <is>
          <t>2026-09-04</t>
        </is>
      </c>
      <c r="O129" t="inlineStr">
        <is>
          <t>POST /orders/checkout was removed precisely because it bypassed this.</t>
        </is>
      </c>
    </row>
    <row r="130">
      <c r="A130" t="inlineStr">
        <is>
          <t>BF-022</t>
        </is>
      </c>
      <c r="B130" t="inlineStr">
        <is>
          <t>Business Flow Audit</t>
        </is>
      </c>
      <c r="C130" t="inlineStr">
        <is>
          <t>Customer Journey</t>
        </is>
      </c>
      <c r="D130" t="inlineStr">
        <is>
          <t>Shipment creation</t>
        </is>
      </c>
      <c r="E130" t="inlineStr">
        <is>
          <t>Local repository + disposable MySQL only</t>
        </is>
      </c>
      <c r="F130" t="inlineStr">
        <is>
          <t>Trace implementation; execute only on a disposable database</t>
        </is>
      </c>
      <c r="G130" t="inlineStr">
        <is>
          <t>Behaviour matches the intended business rule</t>
        </is>
      </c>
      <c r="H130" t="inlineStr">
        <is>
          <t>P0</t>
        </is>
      </c>
      <c r="I130" t="inlineStr">
        <is>
          <t>Audit</t>
        </is>
      </c>
      <c r="J130" t="inlineStr">
        <is>
          <t>Manual</t>
        </is>
      </c>
      <c r="K130" t="inlineStr">
        <is>
          <t>AUDIT_ONLY</t>
        </is>
      </c>
      <c r="L130" t="inlineStr">
        <is>
          <t>Shipment row is created at checkout with status RATE_SELECTED; provider booking happens after payment PAID. destination.phone = order.address.phone read dynamically (shipment.service.ts:232).</t>
        </is>
      </c>
      <c r="M130" t="inlineStr">
        <is>
          <t>Source trace (read-only)</t>
        </is>
      </c>
      <c r="N130" t="inlineStr">
        <is>
          <t>2026-09-04</t>
        </is>
      </c>
      <c r="O130" t="inlineStr">
        <is>
          <t>Verified canonical in 61AG.3.22 on shared dev, read-only.</t>
        </is>
      </c>
    </row>
    <row r="131">
      <c r="A131" t="inlineStr">
        <is>
          <t>BF-023</t>
        </is>
      </c>
      <c r="B131" t="inlineStr">
        <is>
          <t>Business Flow Audit</t>
        </is>
      </c>
      <c r="C131" t="inlineStr">
        <is>
          <t>Customer Journey</t>
        </is>
      </c>
      <c r="D131" t="inlineStr">
        <is>
          <t>Shipment authorization</t>
        </is>
      </c>
      <c r="E131" t="inlineStr">
        <is>
          <t>Local repository + disposable MySQL only</t>
        </is>
      </c>
      <c r="F131" t="inlineStr">
        <is>
          <t>Trace implementation; execute only on a disposable database</t>
        </is>
      </c>
      <c r="G131" t="inlineStr">
        <is>
          <t>Behaviour matches the intended business rule</t>
        </is>
      </c>
      <c r="H131" t="inlineStr">
        <is>
          <t>P0</t>
        </is>
      </c>
      <c r="I131" t="inlineStr">
        <is>
          <t>Audit</t>
        </is>
      </c>
      <c r="J131" t="inlineStr">
        <is>
          <t>Manual</t>
        </is>
      </c>
      <c r="K131" t="inlineStr">
        <is>
          <t>AUDIT_ONLY</t>
        </is>
      </c>
      <c r="L131" t="inlineStr">
        <is>
          <t>Shipment mutation routes live only on the admin controller (shipment-admin.controller.ts). Customers reach shipment data solely through their own order list, which is userId-scoped.</t>
        </is>
      </c>
      <c r="M131" t="inlineStr">
        <is>
          <t>Source trace (read-only)</t>
        </is>
      </c>
      <c r="N131" t="inlineStr">
        <is>
          <t>2026-09-04</t>
        </is>
      </c>
      <c r="O131" t="inlineStr">
        <is>
          <t>No customer-facing shipment mutation surface.</t>
        </is>
      </c>
    </row>
    <row r="132">
      <c r="A132" t="inlineStr">
        <is>
          <t>BF-024</t>
        </is>
      </c>
      <c r="B132" t="inlineStr">
        <is>
          <t>Business Flow Audit</t>
        </is>
      </c>
      <c r="C132" t="inlineStr">
        <is>
          <t>Customer Journey</t>
        </is>
      </c>
      <c r="D132" t="inlineStr">
        <is>
          <t>Tracking</t>
        </is>
      </c>
      <c r="E132" t="inlineStr">
        <is>
          <t>Local repository + disposable MySQL only</t>
        </is>
      </c>
      <c r="F132" t="inlineStr">
        <is>
          <t>Trace implementation; execute only on a disposable database</t>
        </is>
      </c>
      <c r="G132" t="inlineStr">
        <is>
          <t>Behaviour matches the intended business rule</t>
        </is>
      </c>
      <c r="H132" t="inlineStr">
        <is>
          <t>P0</t>
        </is>
      </c>
      <c r="I132" t="inlineStr">
        <is>
          <t>Audit</t>
        </is>
      </c>
      <c r="J132" t="inlineStr">
        <is>
          <t>Manual</t>
        </is>
      </c>
      <c r="K132" t="inlineStr">
        <is>
          <t>AUDIT_ONLY</t>
        </is>
      </c>
      <c r="L132" t="inlineStr">
        <is>
          <t>Tracking number and URL are rendered inline on the customer order list (app/orders/page.tsx) rather than a separate detail route. There is no customer GET /orders/:id - by design, not a gap.</t>
        </is>
      </c>
      <c r="M132" t="inlineStr">
        <is>
          <t>Source trace (read-only)</t>
        </is>
      </c>
      <c r="N132" t="inlineStr">
        <is>
          <t>2026-09-04</t>
        </is>
      </c>
      <c r="O132" t="inlineStr">
        <is>
          <t>See BF-030 for the unbounded-list concern on that same endpoint.</t>
        </is>
      </c>
    </row>
    <row r="133">
      <c r="A133" t="inlineStr">
        <is>
          <t>BF-025</t>
        </is>
      </c>
      <c r="B133" t="inlineStr">
        <is>
          <t>Business Flow Audit</t>
        </is>
      </c>
      <c r="C133" t="inlineStr">
        <is>
          <t>Customer Journey</t>
        </is>
      </c>
      <c r="D133" t="inlineStr">
        <is>
          <t>Cancellation</t>
        </is>
      </c>
      <c r="E133" t="inlineStr">
        <is>
          <t>Local repository + disposable MySQL only</t>
        </is>
      </c>
      <c r="F133" t="inlineStr">
        <is>
          <t>Trace implementation; execute only on a disposable database</t>
        </is>
      </c>
      <c r="G133" t="inlineStr">
        <is>
          <t>Behaviour matches the intended business rule</t>
        </is>
      </c>
      <c r="H133" t="inlineStr">
        <is>
          <t>P0</t>
        </is>
      </c>
      <c r="I133" t="inlineStr">
        <is>
          <t>Audit</t>
        </is>
      </c>
      <c r="J133" t="inlineStr">
        <is>
          <t>Manual</t>
        </is>
      </c>
      <c r="K133" t="inlineStr">
        <is>
          <t>AUDIT_ONLY</t>
        </is>
      </c>
      <c r="L133" t="inlineStr">
        <is>
          <t>order-cancellation.service.ts plus order-status-transitions.ts guard legal transitions; reservation release on cancel/expiry is handled by inventory-reservation.worker.ts. No customer-facing cancel route was found in the customer controllers.</t>
        </is>
      </c>
      <c r="M133" t="inlineStr">
        <is>
          <t>Source trace (read-only)</t>
        </is>
      </c>
      <c r="N133" t="inlineStr">
        <is>
          <t>2026-09-04</t>
        </is>
      </c>
      <c r="O133" t="inlineStr">
        <is>
          <t>Not exercised this phase; no browser coverage exists.</t>
        </is>
      </c>
    </row>
    <row r="134">
      <c r="A134" t="inlineStr">
        <is>
          <t>BF-026</t>
        </is>
      </c>
      <c r="B134" t="inlineStr">
        <is>
          <t>Business Flow Audit</t>
        </is>
      </c>
      <c r="C134" t="inlineStr">
        <is>
          <t>Customer Journey</t>
        </is>
      </c>
      <c r="D134" t="inlineStr">
        <is>
          <t>Notification outbox</t>
        </is>
      </c>
      <c r="E134" t="inlineStr">
        <is>
          <t>Local repository + disposable MySQL only</t>
        </is>
      </c>
      <c r="F134" t="inlineStr">
        <is>
          <t>Trace implementation; execute only on a disposable database</t>
        </is>
      </c>
      <c r="G134" t="inlineStr">
        <is>
          <t>Behaviour matches the intended business rule</t>
        </is>
      </c>
      <c r="H134" t="inlineStr">
        <is>
          <t>P0</t>
        </is>
      </c>
      <c r="I134" t="inlineStr">
        <is>
          <t>Audit</t>
        </is>
      </c>
      <c r="J134" t="inlineStr">
        <is>
          <t>Manual</t>
        </is>
      </c>
      <c r="K134" t="inlineStr">
        <is>
          <t>PASS</t>
        </is>
      </c>
      <c r="L134" t="inlineStr">
        <is>
          <t>order.created is emitted through the transactional outbox in the SAME transaction as the order, so an order can never exist without its event, and no event is emitted for a rolled-back order.</t>
        </is>
      </c>
      <c r="M134" t="inlineStr">
        <is>
          <t>Source trace (read-only); persistOrderOnce</t>
        </is>
      </c>
      <c r="N134" t="inlineStr">
        <is>
          <t>2026-09-04</t>
        </is>
      </c>
      <c r="O134" t="inlineStr">
        <is>
          <t>Textbook transactional outbox.</t>
        </is>
      </c>
    </row>
    <row r="135">
      <c r="A135" t="inlineStr">
        <is>
          <t>BF-027</t>
        </is>
      </c>
      <c r="B135" t="inlineStr">
        <is>
          <t>Business Flow Audit</t>
        </is>
      </c>
      <c r="C135" t="inlineStr">
        <is>
          <t>Customer Journey</t>
        </is>
      </c>
      <c r="D135" t="inlineStr">
        <is>
          <t>Notification retry</t>
        </is>
      </c>
      <c r="E135" t="inlineStr">
        <is>
          <t>Local repository + disposable MySQL only</t>
        </is>
      </c>
      <c r="F135" t="inlineStr">
        <is>
          <t>Trace implementation; execute only on a disposable database</t>
        </is>
      </c>
      <c r="G135" t="inlineStr">
        <is>
          <t>Behaviour matches the intended business rule</t>
        </is>
      </c>
      <c r="H135" t="inlineStr">
        <is>
          <t>P0</t>
        </is>
      </c>
      <c r="I135" t="inlineStr">
        <is>
          <t>Audit</t>
        </is>
      </c>
      <c r="J135" t="inlineStr">
        <is>
          <t>Manual</t>
        </is>
      </c>
      <c r="K135" t="inlineStr">
        <is>
          <t>AUDIT_ONLY</t>
        </is>
      </c>
      <c r="L135" t="inlineStr">
        <is>
          <t>NotificationOutbox carries status, attempts, nextAttemptAt, lockedUntil/lockedBy and providerMessageId - a leased retry loop. Delivery is double-gated (flag + allowlist) before any customer send.</t>
        </is>
      </c>
      <c r="M135" t="inlineStr">
        <is>
          <t>Source trace (read-only); notification-delivery.gate.ts</t>
        </is>
      </c>
      <c r="N135" t="inlineStr">
        <is>
          <t>2026-09-04</t>
        </is>
      </c>
      <c r="O135" t="inlineStr">
        <is>
          <t>No real Qontak call was made this phase.</t>
        </is>
      </c>
    </row>
    <row r="136">
      <c r="A136" t="inlineStr">
        <is>
          <t>BF-028</t>
        </is>
      </c>
      <c r="B136" t="inlineStr">
        <is>
          <t>Business Flow Audit</t>
        </is>
      </c>
      <c r="C136" t="inlineStr">
        <is>
          <t>Customer Journey</t>
        </is>
      </c>
      <c r="D136" t="inlineStr">
        <is>
          <t>Qontak canonical phone</t>
        </is>
      </c>
      <c r="E136" t="inlineStr">
        <is>
          <t>Local repository + disposable MySQL only</t>
        </is>
      </c>
      <c r="F136" t="inlineStr">
        <is>
          <t>Trace implementation; execute only on a disposable database</t>
        </is>
      </c>
      <c r="G136" t="inlineStr">
        <is>
          <t>Behaviour matches the intended business rule</t>
        </is>
      </c>
      <c r="H136" t="inlineStr">
        <is>
          <t>P0</t>
        </is>
      </c>
      <c r="I136" t="inlineStr">
        <is>
          <t>Audit</t>
        </is>
      </c>
      <c r="J136" t="inlineStr">
        <is>
          <t>Manual</t>
        </is>
      </c>
      <c r="K136" t="inlineStr">
        <is>
          <t>PASS</t>
        </is>
      </c>
      <c r="L136" t="inlineStr">
        <is>
          <t>normalizePhoneNumber() is a fixed point on every stored address phone after the 61AG.3.22 backfill; the quarantined malformed row is correctly rejected rather than sent.</t>
        </is>
      </c>
      <c r="M136" t="inlineStr">
        <is>
          <t>downstream-verify.js (read-only, shared dev, 61AG.3.22)</t>
        </is>
      </c>
      <c r="N136" t="inlineStr">
        <is>
          <t>2026-09-04</t>
        </is>
      </c>
      <c r="O136" t="inlineStr">
        <is>
          <t>In-process only - no HTTP, no credentials.</t>
        </is>
      </c>
    </row>
    <row r="137">
      <c r="A137" t="inlineStr">
        <is>
          <t>BF-029</t>
        </is>
      </c>
      <c r="B137" t="inlineStr">
        <is>
          <t>Business Flow Audit</t>
        </is>
      </c>
      <c r="C137" t="inlineStr">
        <is>
          <t>Customer Journey</t>
        </is>
      </c>
      <c r="D137" t="inlineStr">
        <is>
          <t>Customer ownership boundaries</t>
        </is>
      </c>
      <c r="E137" t="inlineStr">
        <is>
          <t>Local repository + disposable MySQL only</t>
        </is>
      </c>
      <c r="F137" t="inlineStr">
        <is>
          <t>Trace implementation; execute only on a disposable database</t>
        </is>
      </c>
      <c r="G137" t="inlineStr">
        <is>
          <t>Behaviour matches the intended business rule</t>
        </is>
      </c>
      <c r="H137" t="inlineStr">
        <is>
          <t>P0</t>
        </is>
      </c>
      <c r="I137" t="inlineStr">
        <is>
          <t>Audit</t>
        </is>
      </c>
      <c r="J137" t="inlineStr">
        <is>
          <t>Manual</t>
        </is>
      </c>
      <c r="K137" t="inlineStr">
        <is>
          <t>PASS</t>
        </is>
      </c>
      <c r="L137" t="inlineStr">
        <is>
          <t>Orders: GET /orders/users/:userId throws Forbidden when user.sub !== userId. Payments: assertPaymentOwner scopes by order.userId and returns 404 (not 403), so ownership cannot be probed. Addresses: /me-scoped. Upload links are single-use token-gated with no paymentId in the URL.</t>
        </is>
      </c>
      <c r="M137" t="inlineStr">
        <is>
          <t>Source trace (read-only); Playwright SEC-011, AUTH-014, CF-016</t>
        </is>
      </c>
      <c r="N137" t="inlineStr">
        <is>
          <t>2026-09-04</t>
        </is>
      </c>
      <c r="O137" t="inlineStr">
        <is>
          <t>No cross-customer read surface found.</t>
        </is>
      </c>
    </row>
    <row r="138">
      <c r="A138" t="inlineStr">
        <is>
          <t>BF-030</t>
        </is>
      </c>
      <c r="B138" t="inlineStr">
        <is>
          <t>Business Flow Audit</t>
        </is>
      </c>
      <c r="C138" t="inlineStr">
        <is>
          <t>Customer Journey</t>
        </is>
      </c>
      <c r="D138" t="inlineStr">
        <is>
          <t>API error contract</t>
        </is>
      </c>
      <c r="E138" t="inlineStr">
        <is>
          <t>Local repository + disposable MySQL only</t>
        </is>
      </c>
      <c r="F138" t="inlineStr">
        <is>
          <t>Trace implementation; execute only on a disposable database</t>
        </is>
      </c>
      <c r="G138" t="inlineStr">
        <is>
          <t>Behaviour matches the intended business rule</t>
        </is>
      </c>
      <c r="H138" t="inlineStr">
        <is>
          <t>P0</t>
        </is>
      </c>
      <c r="I138" t="inlineStr">
        <is>
          <t>Audit</t>
        </is>
      </c>
      <c r="J138" t="inlineStr">
        <is>
          <t>Manual</t>
        </is>
      </c>
      <c r="K138" t="inlineStr">
        <is>
          <t>FAIL</t>
        </is>
      </c>
      <c r="L138" t="inlineStr">
        <is>
          <t>GET /orders/users/:userId?status=&lt;anything&gt; passes the raw string to Prisma as `status as never`. A value outside OrderStatus raises PrismaClientValidationError, which is not an HttpException, so AllExceptionsFilter returns 500 "Internal server error" for what is a client input error (should be 400). Same endpoint returns every order with full includes and NO pagination.</t>
        </is>
      </c>
      <c r="M138" t="inlineStr">
        <is>
          <t>Source trace (read-only); orders.service.ts:1032; all-exceptions.filter.ts</t>
        </is>
      </c>
      <c r="N138" t="inlineStr">
        <is>
          <t>2026-09-04</t>
        </is>
      </c>
      <c r="O138" t="inlineStr">
        <is>
          <t>P2. No data leak - the filter returns no stack trace and no SQL - but the status code is wrong and the payload grows unbounded per customer.</t>
        </is>
      </c>
    </row>
    <row r="139">
      <c r="A139" t="inlineStr">
        <is>
          <t>BF-031</t>
        </is>
      </c>
      <c r="B139" t="inlineStr">
        <is>
          <t>Business Flow Audit</t>
        </is>
      </c>
      <c r="C139" t="inlineStr">
        <is>
          <t>Customer Journey</t>
        </is>
      </c>
      <c r="D139" t="inlineStr">
        <is>
          <t>Frontend failure UX</t>
        </is>
      </c>
      <c r="E139" t="inlineStr">
        <is>
          <t>Local repository + disposable MySQL only</t>
        </is>
      </c>
      <c r="F139" t="inlineStr">
        <is>
          <t>Trace implementation; execute only on a disposable database</t>
        </is>
      </c>
      <c r="G139" t="inlineStr">
        <is>
          <t>Behaviour matches the intended business rule</t>
        </is>
      </c>
      <c r="H139" t="inlineStr">
        <is>
          <t>P0</t>
        </is>
      </c>
      <c r="I139" t="inlineStr">
        <is>
          <t>Audit</t>
        </is>
      </c>
      <c r="J139" t="inlineStr">
        <is>
          <t>Manual</t>
        </is>
      </c>
      <c r="K139" t="inlineStr">
        <is>
          <t>FAIL</t>
        </is>
      </c>
      <c r="L139" t="inlineStr">
        <is>
          <t>GOOD: checkout sends an Idempotency-Key (crypto.randomUUID in a ref); 409 -&gt; "processing" notice; 422 -&gt; "mismatch" notice AND a fresh key for the changed cart; submit disabled while isPending (duplicate-submit prevented); shipping/summary/channels queries each have loading and isError states; the API client does a single transparent cookie refresh on a customer 401 and retries. GAP: app/checkout/page.tsx onError branches ONLY on 409 and 422, and the only alert rendered is the conflict banner. A 400 (e.g. "Insufficient stock", "Voucher has expired"), 403, 404, 500 or a network failure on POST /checkout/order produces NO user-visible message - the button simply stops spinning. "Insufficient stock" is a realistic 400 at this exact step, so the most likely checkout failure is the one the customer is told nothing about.</t>
        </is>
      </c>
      <c r="M139" t="inlineStr">
        <is>
          <t>Source trace: app/checkout/page.tsx:194-200,499-501; lib/api/client.ts:86-87; lib/api/orders.api.ts:42</t>
        </is>
      </c>
      <c r="N139" t="inlineStr">
        <is>
          <t>2026-09-04</t>
        </is>
      </c>
      <c r="O139" t="inlineStr">
        <is>
          <t>P2. Not fixed - audit only. Needs a generic error surface on the checkout mutation.</t>
        </is>
      </c>
    </row>
    <row r="140">
      <c r="A140" t="inlineStr">
        <is>
          <t>BF-032</t>
        </is>
      </c>
      <c r="B140" t="inlineStr">
        <is>
          <t>Business Flow Audit</t>
        </is>
      </c>
      <c r="C140" t="inlineStr">
        <is>
          <t>Customer Journey</t>
        </is>
      </c>
      <c r="D140" t="inlineStr">
        <is>
          <t>Security hardening</t>
        </is>
      </c>
      <c r="E140" t="inlineStr">
        <is>
          <t>Local repository + disposable MySQL only</t>
        </is>
      </c>
      <c r="F140" t="inlineStr">
        <is>
          <t>Trace implementation; execute only on a disposable database</t>
        </is>
      </c>
      <c r="G140" t="inlineStr">
        <is>
          <t>Behaviour matches the intended business rule</t>
        </is>
      </c>
      <c r="H140" t="inlineStr">
        <is>
          <t>P0</t>
        </is>
      </c>
      <c r="I140" t="inlineStr">
        <is>
          <t>Audit</t>
        </is>
      </c>
      <c r="J140" t="inlineStr">
        <is>
          <t>Manual</t>
        </is>
      </c>
      <c r="K140" t="inlineStr">
        <is>
          <t>PASS</t>
        </is>
      </c>
      <c r="L140" t="inlineStr">
        <is>
          <t>P1 FIXED in 61AG.3.26 (CSRF half). CSRF_MODE now defaults to ENFORCE in both declarations, so a cookie-authenticated unsafe method without a valid double-submit token is rejected with 403 instead of being accepted. Proven by 38 unit cases over the real guard: the old accept-without-token behaviour is pinned as a regression, every exemption (Bearer, no-auth-cookie/webhook, and the four bootstrap paths) is tested with its reason, and 12 negative token cases are rejected. Browser-level proof is written but was NOT executable this phase (frontend port occupied by the developer's dev server; Docker stopped) — see SEC-CSRF-006/009/018. The OTHER half of BF-032, the dead unauthenticated /cart/sessions endpoint, is still open and was deliberately not touched.</t>
        </is>
      </c>
      <c r="M140" t="inlineStr">
        <is>
          <t>backend/test/unit/csrf.guard.spec.ts (38 cases) — real CsrfGuard, full decision matrix</t>
        </is>
      </c>
      <c r="N140" t="inlineStr">
        <is>
          <t>2026-09-04</t>
        </is>
      </c>
      <c r="O140" t="inlineStr">
        <is>
          <t>Only cookie-auth mutations are affected. The frontend already sent X-CSRF-Token, admin uses Bearer, and webhooks carry no auth cookie, so the blast radius is a stale browser tab running an old JS bundle. Operators upgrading an existing deployment should run CSRF_MODE=report first.</t>
        </is>
      </c>
    </row>
    <row r="141">
      <c r="A141" t="inlineStr">
        <is>
          <t>BF-033</t>
        </is>
      </c>
      <c r="B141" t="inlineStr">
        <is>
          <t>Business Flow Audit</t>
        </is>
      </c>
      <c r="C141" t="inlineStr">
        <is>
          <t>Customer Journey</t>
        </is>
      </c>
      <c r="D141" t="inlineStr">
        <is>
          <t>E2E coverage</t>
        </is>
      </c>
      <c r="E141" t="inlineStr">
        <is>
          <t>Local repository + disposable MySQL only</t>
        </is>
      </c>
      <c r="F141" t="inlineStr">
        <is>
          <t>Trace implementation; execute only on a disposable database</t>
        </is>
      </c>
      <c r="G141" t="inlineStr">
        <is>
          <t>Behaviour matches the intended business rule</t>
        </is>
      </c>
      <c r="H141" t="inlineStr">
        <is>
          <t>P0</t>
        </is>
      </c>
      <c r="I141" t="inlineStr">
        <is>
          <t>Audit</t>
        </is>
      </c>
      <c r="J141" t="inlineStr">
        <is>
          <t>Manual</t>
        </is>
      </c>
      <c r="K141" t="inlineStr">
        <is>
          <t>FAIL</t>
        </is>
      </c>
      <c r="L141" t="inlineStr">
        <is>
          <t>The repository-owned isolated harness covers GEO-001..004 only. Checkout, order creation, payment, cart, cancellation and tracking have NO browser coverage that runs under isolation - those specs target the developer stack (ADMIN_URL :3002, shared catalog fixtures) and fail under the isolated harness. No stock-race test exists in the repository; the one used for BF-017 lives in scratch and is deliberately not committed.</t>
        </is>
      </c>
      <c r="M141" t="inlineStr">
        <is>
          <t>Playwright run under isolation; repository test inventory</t>
        </is>
      </c>
      <c r="N141" t="inlineStr">
        <is>
          <t>2026-09-04</t>
        </is>
      </c>
      <c r="O141" t="inlineStr">
        <is>
          <t>P1 coverage gap. Not remediated - audit only, and no fixture was altered to mask it.</t>
        </is>
      </c>
    </row>
    <row r="142">
      <c r="A142" t="inlineStr">
        <is>
          <t>BF-034</t>
        </is>
      </c>
      <c r="B142" t="inlineStr">
        <is>
          <t>Business Flow Audit</t>
        </is>
      </c>
      <c r="C142" t="inlineStr">
        <is>
          <t>Customer Journey</t>
        </is>
      </c>
      <c r="D142" t="inlineStr">
        <is>
          <t>Overall customer journey</t>
        </is>
      </c>
      <c r="E142" t="inlineStr">
        <is>
          <t>Local repository + disposable MySQL only</t>
        </is>
      </c>
      <c r="F142" t="inlineStr">
        <is>
          <t>Trace implementation; execute only on a disposable database</t>
        </is>
      </c>
      <c r="G142" t="inlineStr">
        <is>
          <t>Behaviour matches the intended business rule</t>
        </is>
      </c>
      <c r="H142" t="inlineStr">
        <is>
          <t>P0</t>
        </is>
      </c>
      <c r="I142" t="inlineStr">
        <is>
          <t>Audit</t>
        </is>
      </c>
      <c r="J142" t="inlineStr">
        <is>
          <t>Manual</t>
        </is>
      </c>
      <c r="K142" t="inlineStr">
        <is>
          <t>AUDIT_ONLY</t>
        </is>
      </c>
      <c r="L142" t="inlineStr">
        <is>
          <t>The journey is implemented end to end: login, catalog, cart, address (server-geocoded), coverage-gated quotation, checkout with idempotency, order in one transaction, payment (manual or gateway), shipment booking after PAID, tracking on the order list, notification via the transactional outbox. Money and stock are server-authoritative throughout. The one correctness defect found is BF-017; the one security default of concern is BF-032.</t>
        </is>
      </c>
      <c r="M142" t="inlineStr">
        <is>
          <t>All of the above</t>
        </is>
      </c>
      <c r="N142" t="inlineStr">
        <is>
          <t>2026-09-04</t>
        </is>
      </c>
      <c r="O142" t="inlineStr">
        <is>
          <t>A customer can realistically complete the intended purchase. Under concurrency on the last unit, two of them can.</t>
        </is>
      </c>
    </row>
    <row r="143">
      <c r="A143" t="inlineStr">
        <is>
          <t>INV-001</t>
        </is>
      </c>
      <c r="B143" t="inlineStr">
        <is>
          <t>Inventory Hardening</t>
        </is>
      </c>
      <c r="C143" t="inlineStr">
        <is>
          <t>Inventory</t>
        </is>
      </c>
      <c r="D143" t="inlineStr">
        <is>
          <t>Legacy path concurrent reservation reproduction (pre-fix)</t>
        </is>
      </c>
      <c r="E143" t="inlineStr">
        <is>
          <t>Disposable MySQL 8.4 only; no shared dev, no production</t>
        </is>
      </c>
      <c r="F143" t="inlineStr">
        <is>
          <t>Exercise the real InventoryReservationService in overlapping transactions</t>
        </is>
      </c>
      <c r="G143" t="inlineStr">
        <is>
          <t>No oversell; lifecycle and multi-outlet behaviour preserved</t>
        </is>
      </c>
      <c r="H143" t="inlineStr">
        <is>
          <t>P0</t>
        </is>
      </c>
      <c r="I143" t="inlineStr">
        <is>
          <t>Integration</t>
        </is>
      </c>
      <c r="J143" t="inlineStr">
        <is>
          <t>Automated</t>
        </is>
      </c>
      <c r="K143" t="inlineStr">
        <is>
          <t>PASS</t>
        </is>
      </c>
      <c r="L143" t="inlineStr">
        <is>
          <t>Race reproduced IN-REPO against the real service before any fix: winners=2, losers=0 on stock=1, available=-1. Determinism is engineered, not hoped for: both transactions take a real consistent read of InventoryReservation, then wait on a barrier, so neither can commit before the other has read.</t>
        </is>
      </c>
      <c r="M143" t="inlineStr">
        <is>
          <t>backend/test/integration/inventory-concurrency.int-spec.ts on disposable MySQL 8.4 (Testcontainers world); real InventoryReservationService (run against unmodified HEAD code)</t>
        </is>
      </c>
      <c r="N143" t="inlineStr">
        <is>
          <t>2026-09-04</t>
        </is>
      </c>
      <c r="O143" t="inlineStr">
        <is>
          <t>The failing test was written and demonstrated failing BEFORE the fix, per the phase requirement.</t>
        </is>
      </c>
    </row>
    <row r="144">
      <c r="A144" t="inlineStr">
        <is>
          <t>INV-002</t>
        </is>
      </c>
      <c r="B144" t="inlineStr">
        <is>
          <t>Inventory Hardening</t>
        </is>
      </c>
      <c r="C144" t="inlineStr">
        <is>
          <t>Inventory</t>
        </is>
      </c>
      <c r="D144" t="inlineStr">
        <is>
          <t>Legacy path concurrent reservation fixed</t>
        </is>
      </c>
      <c r="E144" t="inlineStr">
        <is>
          <t>Disposable MySQL 8.4 only; no shared dev, no production</t>
        </is>
      </c>
      <c r="F144" t="inlineStr">
        <is>
          <t>Exercise the real InventoryReservationService in overlapping transactions</t>
        </is>
      </c>
      <c r="G144" t="inlineStr">
        <is>
          <t>No oversell; lifecycle and multi-outlet behaviour preserved</t>
        </is>
      </c>
      <c r="H144" t="inlineStr">
        <is>
          <t>P0</t>
        </is>
      </c>
      <c r="I144" t="inlineStr">
        <is>
          <t>Integration</t>
        </is>
      </c>
      <c r="J144" t="inlineStr">
        <is>
          <t>Automated</t>
        </is>
      </c>
      <c r="K144" t="inlineStr">
        <is>
          <t>PASS</t>
        </is>
      </c>
      <c r="L144" t="inlineStr">
        <is>
          <t>After the fix: winners=1, losers=1; the loser fails with "Insufficient available stock"; reserved=1. INV-002b repeats the race 10 consecutive times - every run exactly 1 winner / 1 loser. INV-002c: 3 concurrent reservations against stock=2 yield exactly 2 winners.</t>
        </is>
      </c>
      <c r="M144" t="inlineStr">
        <is>
          <t>backend/test/integration/inventory-concurrency.int-spec.ts on disposable MySQL 8.4 (Testcontainers world); real InventoryReservationService</t>
        </is>
      </c>
      <c r="N144" t="inlineStr">
        <is>
          <t>2026-09-04</t>
        </is>
      </c>
      <c r="O144" t="inlineStr">
        <is>
          <t>12 independent concurrent races in total, no oversell in any.</t>
        </is>
      </c>
    </row>
    <row r="145">
      <c r="A145" t="inlineStr">
        <is>
          <t>INV-003</t>
        </is>
      </c>
      <c r="B145" t="inlineStr">
        <is>
          <t>Inventory Hardening</t>
        </is>
      </c>
      <c r="C145" t="inlineStr">
        <is>
          <t>Inventory</t>
        </is>
      </c>
      <c r="D145" t="inlineStr">
        <is>
          <t>Stock never becomes negative</t>
        </is>
      </c>
      <c r="E145" t="inlineStr">
        <is>
          <t>Disposable MySQL 8.4 only; no shared dev, no production</t>
        </is>
      </c>
      <c r="F145" t="inlineStr">
        <is>
          <t>Exercise the real InventoryReservationService in overlapping transactions</t>
        </is>
      </c>
      <c r="G145" t="inlineStr">
        <is>
          <t>No oversell; lifecycle and multi-outlet behaviour preserved</t>
        </is>
      </c>
      <c r="H145" t="inlineStr">
        <is>
          <t>P0</t>
        </is>
      </c>
      <c r="I145" t="inlineStr">
        <is>
          <t>Integration</t>
        </is>
      </c>
      <c r="J145" t="inlineStr">
        <is>
          <t>Automated</t>
        </is>
      </c>
      <c r="K145" t="inlineStr">
        <is>
          <t>PASS</t>
        </is>
      </c>
      <c r="L145" t="inlineStr">
        <is>
          <t>After the race: Product.stock &gt;= 0, reserved &lt;= stock, and stock - reserved &gt;= 0.</t>
        </is>
      </c>
      <c r="M145" t="inlineStr">
        <is>
          <t>backend/test/integration/inventory-concurrency.int-spec.ts on disposable MySQL 8.4 (Testcontainers world); real InventoryReservationService</t>
        </is>
      </c>
      <c r="N145" t="inlineStr">
        <is>
          <t>2026-09-04</t>
        </is>
      </c>
      <c r="O145" t="inlineStr">
        <is>
          <t>Asserted separately from the winner count so a regression cannot hide behind it.</t>
        </is>
      </c>
    </row>
    <row r="146">
      <c r="A146" t="inlineStr">
        <is>
          <t>INV-004</t>
        </is>
      </c>
      <c r="B146" t="inlineStr">
        <is>
          <t>Inventory Hardening</t>
        </is>
      </c>
      <c r="C146" t="inlineStr">
        <is>
          <t>Inventory</t>
        </is>
      </c>
      <c r="D146" t="inlineStr">
        <is>
          <t>Sequential over-quantity rejection</t>
        </is>
      </c>
      <c r="E146" t="inlineStr">
        <is>
          <t>Disposable MySQL 8.4 only; no shared dev, no production</t>
        </is>
      </c>
      <c r="F146" t="inlineStr">
        <is>
          <t>Exercise the real InventoryReservationService in overlapping transactions</t>
        </is>
      </c>
      <c r="G146" t="inlineStr">
        <is>
          <t>No oversell; lifecycle and multi-outlet behaviour preserved</t>
        </is>
      </c>
      <c r="H146" t="inlineStr">
        <is>
          <t>P0</t>
        </is>
      </c>
      <c r="I146" t="inlineStr">
        <is>
          <t>Integration</t>
        </is>
      </c>
      <c r="J146" t="inlineStr">
        <is>
          <t>Automated</t>
        </is>
      </c>
      <c r="K146" t="inlineStr">
        <is>
          <t>PASS</t>
        </is>
      </c>
      <c r="L146" t="inlineStr">
        <is>
          <t>stock=1 / qty=2 rejected with "Insufficient available stock" and 0 reservations created. stock=5 / qty=3 accepted, reserved=3.</t>
        </is>
      </c>
      <c r="M146" t="inlineStr">
        <is>
          <t>backend/test/integration/inventory-concurrency.int-spec.ts on disposable MySQL 8.4 (Testcontainers world); real InventoryReservationService</t>
        </is>
      </c>
      <c r="N146" t="inlineStr">
        <is>
          <t>2026-09-04</t>
        </is>
      </c>
      <c r="O146" t="inlineStr">
        <is>
          <t>Pre-existing behaviour preserved.</t>
        </is>
      </c>
    </row>
    <row r="147">
      <c r="A147" t="inlineStr">
        <is>
          <t>INV-005</t>
        </is>
      </c>
      <c r="B147" t="inlineStr">
        <is>
          <t>Inventory Hardening</t>
        </is>
      </c>
      <c r="C147" t="inlineStr">
        <is>
          <t>Inventory</t>
        </is>
      </c>
      <c r="D147" t="inlineStr">
        <is>
          <t>Zero-stock rejection</t>
        </is>
      </c>
      <c r="E147" t="inlineStr">
        <is>
          <t>Disposable MySQL 8.4 only; no shared dev, no production</t>
        </is>
      </c>
      <c r="F147" t="inlineStr">
        <is>
          <t>Exercise the real InventoryReservationService in overlapping transactions</t>
        </is>
      </c>
      <c r="G147" t="inlineStr">
        <is>
          <t>No oversell; lifecycle and multi-outlet behaviour preserved</t>
        </is>
      </c>
      <c r="H147" t="inlineStr">
        <is>
          <t>P0</t>
        </is>
      </c>
      <c r="I147" t="inlineStr">
        <is>
          <t>Integration</t>
        </is>
      </c>
      <c r="J147" t="inlineStr">
        <is>
          <t>Automated</t>
        </is>
      </c>
      <c r="K147" t="inlineStr">
        <is>
          <t>PASS</t>
        </is>
      </c>
      <c r="L147" t="inlineStr">
        <is>
          <t>stock=0 / qty=1 rejected.</t>
        </is>
      </c>
      <c r="M147" t="inlineStr">
        <is>
          <t>backend/test/integration/inventory-concurrency.int-spec.ts on disposable MySQL 8.4 (Testcontainers world); real InventoryReservationService</t>
        </is>
      </c>
      <c r="N147" t="inlineStr">
        <is>
          <t>2026-09-04</t>
        </is>
      </c>
    </row>
    <row r="148">
      <c r="A148" t="inlineStr">
        <is>
          <t>INV-006</t>
        </is>
      </c>
      <c r="B148" t="inlineStr">
        <is>
          <t>Inventory Hardening</t>
        </is>
      </c>
      <c r="C148" t="inlineStr">
        <is>
          <t>Inventory</t>
        </is>
      </c>
      <c r="D148" t="inlineStr">
        <is>
          <t>Reservation release correctness</t>
        </is>
      </c>
      <c r="E148" t="inlineStr">
        <is>
          <t>Disposable MySQL 8.4 only; no shared dev, no production</t>
        </is>
      </c>
      <c r="F148" t="inlineStr">
        <is>
          <t>Exercise the real InventoryReservationService in overlapping transactions</t>
        </is>
      </c>
      <c r="G148" t="inlineStr">
        <is>
          <t>No oversell; lifecycle and multi-outlet behaviour preserved</t>
        </is>
      </c>
      <c r="H148" t="inlineStr">
        <is>
          <t>P0</t>
        </is>
      </c>
      <c r="I148" t="inlineStr">
        <is>
          <t>Integration</t>
        </is>
      </c>
      <c r="J148" t="inlineStr">
        <is>
          <t>Automated</t>
        </is>
      </c>
      <c r="K148" t="inlineStr">
        <is>
          <t>PASS</t>
        </is>
      </c>
      <c r="L148" t="inlineStr">
        <is>
          <t>Release drops reserved 1 -&gt; 0, and the freed unit is genuinely reservable again by a second order.</t>
        </is>
      </c>
      <c r="M148" t="inlineStr">
        <is>
          <t>backend/test/integration/inventory-concurrency.int-spec.ts on disposable MySQL 8.4 (Testcontainers world); real InventoryReservationService</t>
        </is>
      </c>
      <c r="N148" t="inlineStr">
        <is>
          <t>2026-09-04</t>
        </is>
      </c>
      <c r="O148" t="inlineStr">
        <is>
          <t>Asserts the unit is re-reservable, not merely that a counter moved.</t>
        </is>
      </c>
    </row>
    <row r="149">
      <c r="A149" t="inlineStr">
        <is>
          <t>INV-007</t>
        </is>
      </c>
      <c r="B149" t="inlineStr">
        <is>
          <t>Inventory Hardening</t>
        </is>
      </c>
      <c r="C149" t="inlineStr">
        <is>
          <t>Inventory</t>
        </is>
      </c>
      <c r="D149" t="inlineStr">
        <is>
          <t>Reservation expiration correctness</t>
        </is>
      </c>
      <c r="E149" t="inlineStr">
        <is>
          <t>Disposable MySQL 8.4 only; no shared dev, no production</t>
        </is>
      </c>
      <c r="F149" t="inlineStr">
        <is>
          <t>Exercise the real InventoryReservationService in overlapping transactions</t>
        </is>
      </c>
      <c r="G149" t="inlineStr">
        <is>
          <t>No oversell; lifecycle and multi-outlet behaviour preserved</t>
        </is>
      </c>
      <c r="H149" t="inlineStr">
        <is>
          <t>P0</t>
        </is>
      </c>
      <c r="I149" t="inlineStr">
        <is>
          <t>Integration</t>
        </is>
      </c>
      <c r="J149" t="inlineStr">
        <is>
          <t>Automated</t>
        </is>
      </c>
      <c r="K149" t="inlineStr">
        <is>
          <t>PASS</t>
        </is>
      </c>
      <c r="L149" t="inlineStr">
        <is>
          <t>expireReservation returns true and reserved returns to 0; a SECOND expire of the same row returns false and does not double-count. The CAS on status holds.</t>
        </is>
      </c>
      <c r="M149" t="inlineStr">
        <is>
          <t>backend/test/integration/inventory-concurrency.int-spec.ts on disposable MySQL 8.4 (Testcontainers world); real InventoryReservationService</t>
        </is>
      </c>
      <c r="N149" t="inlineStr">
        <is>
          <t>2026-09-04</t>
        </is>
      </c>
    </row>
    <row r="150">
      <c r="A150" t="inlineStr">
        <is>
          <t>INV-008</t>
        </is>
      </c>
      <c r="B150" t="inlineStr">
        <is>
          <t>Inventory Hardening</t>
        </is>
      </c>
      <c r="C150" t="inlineStr">
        <is>
          <t>Inventory</t>
        </is>
      </c>
      <c r="D150" t="inlineStr">
        <is>
          <t>Committed reservation correctness</t>
        </is>
      </c>
      <c r="E150" t="inlineStr">
        <is>
          <t>Disposable MySQL 8.4 only; no shared dev, no production</t>
        </is>
      </c>
      <c r="F150" t="inlineStr">
        <is>
          <t>Exercise the real InventoryReservationService in overlapping transactions</t>
        </is>
      </c>
      <c r="G150" t="inlineStr">
        <is>
          <t>No oversell; lifecycle and multi-outlet behaviour preserved</t>
        </is>
      </c>
      <c r="H150" t="inlineStr">
        <is>
          <t>P0</t>
        </is>
      </c>
      <c r="I150" t="inlineStr">
        <is>
          <t>Integration</t>
        </is>
      </c>
      <c r="J150" t="inlineStr">
        <is>
          <t>Automated</t>
        </is>
      </c>
      <c r="K150" t="inlineStr">
        <is>
          <t>PASS</t>
        </is>
      </c>
      <c r="L150" t="inlineStr">
        <is>
          <t>Commit of a qty-2 reservation against stock=3: committed=1 reservation, Product.stock 3 -&gt; 1, reserved -&gt; 0.</t>
        </is>
      </c>
      <c r="M150" t="inlineStr">
        <is>
          <t>backend/test/integration/inventory-concurrency.int-spec.ts on disposable MySQL 8.4 (Testcontainers world); real InventoryReservationService</t>
        </is>
      </c>
      <c r="N150" t="inlineStr">
        <is>
          <t>2026-09-04</t>
        </is>
      </c>
      <c r="O150" t="inlineStr">
        <is>
          <t>Stock is deducted at commit, not at reserve - the documented lifecycle.</t>
        </is>
      </c>
    </row>
    <row r="151">
      <c r="A151" t="inlineStr">
        <is>
          <t>INV-009</t>
        </is>
      </c>
      <c r="B151" t="inlineStr">
        <is>
          <t>Inventory Hardening</t>
        </is>
      </c>
      <c r="C151" t="inlineStr">
        <is>
          <t>Inventory</t>
        </is>
      </c>
      <c r="D151" t="inlineStr">
        <is>
          <t>Multi-outlet concurrent reservation</t>
        </is>
      </c>
      <c r="E151" t="inlineStr">
        <is>
          <t>Disposable MySQL 8.4 only; no shared dev, no production</t>
        </is>
      </c>
      <c r="F151" t="inlineStr">
        <is>
          <t>Exercise the real InventoryReservationService in overlapping transactions</t>
        </is>
      </c>
      <c r="G151" t="inlineStr">
        <is>
          <t>No oversell; lifecycle and multi-outlet behaviour preserved</t>
        </is>
      </c>
      <c r="H151" t="inlineStr">
        <is>
          <t>P0</t>
        </is>
      </c>
      <c r="I151" t="inlineStr">
        <is>
          <t>Integration</t>
        </is>
      </c>
      <c r="J151" t="inlineStr">
        <is>
          <t>Automated</t>
        </is>
      </c>
      <c r="K151" t="inlineStr">
        <is>
          <t>PASS</t>
        </is>
      </c>
      <c r="L151" t="inlineStr">
        <is>
          <t>ProductInventory path with stock=1 under the same barrier-synchronised race: winners=1, losers=1, reserved=1, stock-reserved &gt;= 0. This path was already correct and is unchanged.</t>
        </is>
      </c>
      <c r="M151" t="inlineStr">
        <is>
          <t>backend/test/integration/inventory-concurrency.int-spec.ts on disposable MySQL 8.4 (Testcontainers world); real InventoryReservationService</t>
        </is>
      </c>
      <c r="N151" t="inlineStr">
        <is>
          <t>2026-09-04</t>
        </is>
      </c>
      <c r="O151" t="inlineStr">
        <is>
          <t>Confirms the fix did not disturb the branch that was already safe.</t>
        </is>
      </c>
    </row>
    <row r="152">
      <c r="A152" t="inlineStr">
        <is>
          <t>INV-010</t>
        </is>
      </c>
      <c r="B152" t="inlineStr">
        <is>
          <t>Inventory Hardening</t>
        </is>
      </c>
      <c r="C152" t="inlineStr">
        <is>
          <t>Inventory</t>
        </is>
      </c>
      <c r="D152" t="inlineStr">
        <is>
          <t>Independent outlet stock isolation</t>
        </is>
      </c>
      <c r="E152" t="inlineStr">
        <is>
          <t>Disposable MySQL 8.4 only; no shared dev, no production</t>
        </is>
      </c>
      <c r="F152" t="inlineStr">
        <is>
          <t>Exercise the real InventoryReservationService in overlapping transactions</t>
        </is>
      </c>
      <c r="G152" t="inlineStr">
        <is>
          <t>No oversell; lifecycle and multi-outlet behaviour preserved</t>
        </is>
      </c>
      <c r="H152" t="inlineStr">
        <is>
          <t>P0</t>
        </is>
      </c>
      <c r="I152" t="inlineStr">
        <is>
          <t>Integration</t>
        </is>
      </c>
      <c r="J152" t="inlineStr">
        <is>
          <t>Automated</t>
        </is>
      </c>
      <c r="K152" t="inlineStr">
        <is>
          <t>PASS</t>
        </is>
      </c>
      <c r="L152" t="inlineStr">
        <is>
          <t>Outlet A stock=1 and Outlet B stock=1, one concurrent reservation each: BOTH succeed, each outlet reserved=1. Global Product.stock (0 here) does not block independent per-outlet inventory.</t>
        </is>
      </c>
      <c r="M152" t="inlineStr">
        <is>
          <t>backend/test/integration/inventory-concurrency.int-spec.ts on disposable MySQL 8.4 (Testcontainers world); real InventoryReservationService</t>
        </is>
      </c>
      <c r="N152" t="inlineStr">
        <is>
          <t>2026-09-04</t>
        </is>
      </c>
      <c r="O152" t="inlineStr">
        <is>
          <t>Guards against an over-eager fix that would have serialised unrelated outlets.</t>
        </is>
      </c>
    </row>
    <row r="153">
      <c r="A153" t="inlineStr">
        <is>
          <t>INV-011</t>
        </is>
      </c>
      <c r="B153" t="inlineStr">
        <is>
          <t>Inventory Hardening</t>
        </is>
      </c>
      <c r="C153" t="inlineStr">
        <is>
          <t>Inventory</t>
        </is>
      </c>
      <c r="D153" t="inlineStr">
        <is>
          <t>Deterministic lock ordering / deadlock prevention</t>
        </is>
      </c>
      <c r="E153" t="inlineStr">
        <is>
          <t>Disposable MySQL 8.4 only; no shared dev, no production</t>
        </is>
      </c>
      <c r="F153" t="inlineStr">
        <is>
          <t>Exercise the real InventoryReservationService in overlapping transactions</t>
        </is>
      </c>
      <c r="G153" t="inlineStr">
        <is>
          <t>No oversell; lifecycle and multi-outlet behaviour preserved</t>
        </is>
      </c>
      <c r="H153" t="inlineStr">
        <is>
          <t>P0</t>
        </is>
      </c>
      <c r="I153" t="inlineStr">
        <is>
          <t>Integration</t>
        </is>
      </c>
      <c r="J153" t="inlineStr">
        <is>
          <t>Automated</t>
        </is>
      </c>
      <c r="K153" t="inlineStr">
        <is>
          <t>PASS</t>
        </is>
      </c>
      <c r="L153" t="inlineStr">
        <is>
          <t>Two concurrent carts holding the same two products in REVERSED order both completed; no deadlock and no lock-wait timeout in either. The unit spec separately asserts both carts lock in identical ascending-productId order.</t>
        </is>
      </c>
      <c r="M153" t="inlineStr">
        <is>
          <t>backend/test/integration/inventory-concurrency.int-spec.ts on disposable MySQL 8.4 (Testcontainers world); real InventoryReservationService; test/unit/inventory-reservation.service.spec.ts</t>
        </is>
      </c>
      <c r="N153" t="inlineStr">
        <is>
          <t>2026-09-04</t>
        </is>
      </c>
      <c r="O153" t="inlineStr">
        <is>
          <t>The added reservation-row lock is taken while already holding the product lock, so the ordering guarantee is unchanged.</t>
        </is>
      </c>
    </row>
    <row r="154">
      <c r="A154" t="inlineStr">
        <is>
          <t>INV-012</t>
        </is>
      </c>
      <c r="B154" t="inlineStr">
        <is>
          <t>Inventory Hardening</t>
        </is>
      </c>
      <c r="C154" t="inlineStr">
        <is>
          <t>Inventory</t>
        </is>
      </c>
      <c r="D154" t="inlineStr">
        <is>
          <t>Transaction rollback</t>
        </is>
      </c>
      <c r="E154" t="inlineStr">
        <is>
          <t>Disposable MySQL 8.4 only; no shared dev, no production</t>
        </is>
      </c>
      <c r="F154" t="inlineStr">
        <is>
          <t>Exercise the real InventoryReservationService in overlapping transactions</t>
        </is>
      </c>
      <c r="G154" t="inlineStr">
        <is>
          <t>No oversell; lifecycle and multi-outlet behaviour preserved</t>
        </is>
      </c>
      <c r="H154" t="inlineStr">
        <is>
          <t>P0</t>
        </is>
      </c>
      <c r="I154" t="inlineStr">
        <is>
          <t>Integration</t>
        </is>
      </c>
      <c r="J154" t="inlineStr">
        <is>
          <t>Automated</t>
        </is>
      </c>
      <c r="K154" t="inlineStr">
        <is>
          <t>PASS</t>
        </is>
      </c>
      <c r="L154" t="inlineStr">
        <is>
          <t>Throwing after reserveForOrder but before commit leaves reserved=0, stock unchanged at 5, and ZERO reservation rows for the order - no partial inventory state.</t>
        </is>
      </c>
      <c r="M154" t="inlineStr">
        <is>
          <t>backend/test/integration/inventory-concurrency.int-spec.ts on disposable MySQL 8.4 (Testcontainers world); real InventoryReservationService</t>
        </is>
      </c>
      <c r="N154" t="inlineStr">
        <is>
          <t>2026-09-04</t>
        </is>
      </c>
    </row>
    <row r="155">
      <c r="A155" t="inlineStr">
        <is>
          <t>INV-013</t>
        </is>
      </c>
      <c r="B155" t="inlineStr">
        <is>
          <t>Inventory Hardening</t>
        </is>
      </c>
      <c r="C155" t="inlineStr">
        <is>
          <t>Inventory</t>
        </is>
      </c>
      <c r="D155" t="inlineStr">
        <is>
          <t>Reservation idempotency</t>
        </is>
      </c>
      <c r="E155" t="inlineStr">
        <is>
          <t>Disposable MySQL 8.4 only; no shared dev, no production</t>
        </is>
      </c>
      <c r="F155" t="inlineStr">
        <is>
          <t>Exercise the real InventoryReservationService in overlapping transactions</t>
        </is>
      </c>
      <c r="G155" t="inlineStr">
        <is>
          <t>No oversell; lifecycle and multi-outlet behaviour preserved</t>
        </is>
      </c>
      <c r="H155" t="inlineStr">
        <is>
          <t>P0</t>
        </is>
      </c>
      <c r="I155" t="inlineStr">
        <is>
          <t>Integration</t>
        </is>
      </c>
      <c r="J155" t="inlineStr">
        <is>
          <t>Automated</t>
        </is>
      </c>
      <c r="K155" t="inlineStr">
        <is>
          <t>PASS</t>
        </is>
      </c>
      <c r="L155" t="inlineStr">
        <is>
          <t>Audited, not invented: the service holds NO per-order idempotency. Calling reserveForOrder twice for the same order reserves twice (reserved=2, 2 rows). That is correct by design - it is called once inside the checkout transaction, and checkout's fence-tokened Idempotency-Key is what prevents a duplicate call. The test PINS this contract so a future change on either side is deliberate.</t>
        </is>
      </c>
      <c r="M155" t="inlineStr">
        <is>
          <t>backend/test/integration/inventory-concurrency.int-spec.ts on disposable MySQL 8.4 (Testcontainers world); real InventoryReservationService</t>
        </is>
      </c>
      <c r="N155" t="inlineStr">
        <is>
          <t>2026-09-04</t>
        </is>
      </c>
      <c r="O155" t="inlineStr">
        <is>
          <t>No new idempotency mechanism was introduced; the audit did not show one missing at this layer.</t>
        </is>
      </c>
    </row>
    <row r="156">
      <c r="A156" t="inlineStr">
        <is>
          <t>INV-014</t>
        </is>
      </c>
      <c r="B156" t="inlineStr">
        <is>
          <t>Inventory Hardening</t>
        </is>
      </c>
      <c r="C156" t="inlineStr">
        <is>
          <t>Inventory</t>
        </is>
      </c>
      <c r="D156" t="inlineStr">
        <is>
          <t>Checkout integration</t>
        </is>
      </c>
      <c r="E156" t="inlineStr">
        <is>
          <t>Disposable MySQL 8.4 only; no shared dev, no production</t>
        </is>
      </c>
      <c r="F156" t="inlineStr">
        <is>
          <t>Exercise the real InventoryReservationService in overlapping transactions</t>
        </is>
      </c>
      <c r="G156" t="inlineStr">
        <is>
          <t>No oversell; lifecycle and multi-outlet behaviour preserved</t>
        </is>
      </c>
      <c r="H156" t="inlineStr">
        <is>
          <t>P0</t>
        </is>
      </c>
      <c r="I156" t="inlineStr">
        <is>
          <t>Integration</t>
        </is>
      </c>
      <c r="J156" t="inlineStr">
        <is>
          <t>Automated</t>
        </is>
      </c>
      <c r="K156" t="inlineStr">
        <is>
          <t>PASS</t>
        </is>
      </c>
      <c r="L156" t="inlineStr">
        <is>
          <t>Full integration suite: 83/84 tests, 12/13 suites pass, including checkout-flow-adjacent payment, expiry, relay and settlement specs, plus the new inventory suite. The single failure (checkout-flow.int-spec.ts) is unrelated and pre-existing - see INV-016.</t>
        </is>
      </c>
      <c r="M156" t="inlineStr">
        <is>
          <t>npx jest --config test/integration/jest.integration.config.js</t>
        </is>
      </c>
      <c r="N156" t="inlineStr">
        <is>
          <t>2026-09-04</t>
        </is>
      </c>
      <c r="O156" t="inlineStr">
        <is>
          <t>Unit 2270/2270, frontend 96/96.</t>
        </is>
      </c>
    </row>
    <row r="157">
      <c r="A157" t="inlineStr">
        <is>
          <t>INV-015</t>
        </is>
      </c>
      <c r="B157" t="inlineStr">
        <is>
          <t>Inventory Hardening</t>
        </is>
      </c>
      <c r="C157" t="inlineStr">
        <is>
          <t>Inventory</t>
        </is>
      </c>
      <c r="D157" t="inlineStr">
        <is>
          <t>No unrelated inventory mutation introduced</t>
        </is>
      </c>
      <c r="E157" t="inlineStr">
        <is>
          <t>Disposable MySQL 8.4 only; no shared dev, no production</t>
        </is>
      </c>
      <c r="F157" t="inlineStr">
        <is>
          <t>Exercise the real InventoryReservationService in overlapping transactions</t>
        </is>
      </c>
      <c r="G157" t="inlineStr">
        <is>
          <t>No oversell; lifecycle and multi-outlet behaviour preserved</t>
        </is>
      </c>
      <c r="H157" t="inlineStr">
        <is>
          <t>P0</t>
        </is>
      </c>
      <c r="I157" t="inlineStr">
        <is>
          <t>Integration</t>
        </is>
      </c>
      <c r="J157" t="inlineStr">
        <is>
          <t>Automated</t>
        </is>
      </c>
      <c r="K157" t="inlineStr">
        <is>
          <t>PASS</t>
        </is>
      </c>
      <c r="L157" t="inlineStr">
        <is>
          <t>Mutation matrix built across the backend. SAFE: reserve (now locking on both branches); commit/release/expire (CAS on observed status); order-cancellation restock (atomic increment); stock-transfer (source row locked FOR UPDATE before validation). TWO OBSERVATIONS REPORTED, NOT FIXED: (1) admin product update accepts an absolute stock value and writes it unlocked with no awareness of outstanding reservations, so an admin edit concurrent with checkouts can clobber a decrement or set stock below reservations (P2); (2) stock-transfer computes the DESTINATION row's derived `available` from an unlocked read, which can drift under concurrency although stock/reserved remain authoritative (P3).</t>
        </is>
      </c>
      <c r="M157" t="inlineStr">
        <is>
          <t>Source trace (read-only) across src/modules/inventory, src/modules/admin, src/modules/orders</t>
        </is>
      </c>
      <c r="N157" t="inlineStr">
        <is>
          <t>2026-09-04</t>
        </is>
      </c>
      <c r="O157" t="inlineStr">
        <is>
          <t>Neither was touched - out of scope for this P0 fix, per the phase instruction not to silently fix unrelated races.</t>
        </is>
      </c>
    </row>
    <row r="158">
      <c r="A158" t="inlineStr">
        <is>
          <t>INV-016</t>
        </is>
      </c>
      <c r="B158" t="inlineStr">
        <is>
          <t>Inventory Hardening</t>
        </is>
      </c>
      <c r="C158" t="inlineStr">
        <is>
          <t>Inventory</t>
        </is>
      </c>
      <c r="D158" t="inlineStr">
        <is>
          <t>Pre-existing unrelated integration failure (checkout-flow)</t>
        </is>
      </c>
      <c r="E158" t="inlineStr">
        <is>
          <t>Disposable MySQL 8.4 only; no shared dev, no production</t>
        </is>
      </c>
      <c r="F158" t="inlineStr">
        <is>
          <t>Exercise the real InventoryReservationService in overlapping transactions</t>
        </is>
      </c>
      <c r="G158" t="inlineStr">
        <is>
          <t>No oversell; lifecycle and multi-outlet behaviour preserved</t>
        </is>
      </c>
      <c r="H158" t="inlineStr">
        <is>
          <t>P0</t>
        </is>
      </c>
      <c r="I158" t="inlineStr">
        <is>
          <t>Integration</t>
        </is>
      </c>
      <c r="J158" t="inlineStr">
        <is>
          <t>Automated</t>
        </is>
      </c>
      <c r="K158" t="inlineStr">
        <is>
          <t>FAIL</t>
        </is>
      </c>
      <c r="L158" t="inlineStr">
        <is>
          <t>checkout-flow.int-spec.ts fails: notification template expected "order.received", received "order.transfer". PROVEN UNRELATED AND PRE-EXISTING: the spec contains ZERO references to inventory or reservations; world.checkout() only seeds a scenario and inserts an outbox event, never calling OrdersService or InventoryReservationService; and the spec, world.ts and the entire notification stack are byte-identical to HEAD (git diff empty). Surfaced now only because this is the first phase to run the INTEGRATION suite - 61AG.3.24's "2270/2270" was the UNIT suite, a different jest config.</t>
        </is>
      </c>
      <c r="M158" t="inlineStr">
        <is>
          <t>npx jest --config test/integration/jest.integration.config.js; git diff --name-only (empty for those paths)</t>
        </is>
      </c>
      <c r="N158" t="inlineStr">
        <is>
          <t>2026-09-04</t>
        </is>
      </c>
      <c r="O158" t="inlineStr">
        <is>
          <t>NOT FIXED - outside this phase's scope. Needs its own ticket: decide whether the BANK_TRANSFER template should be order.received or order.transfer, then fix the test or the builder accordingly.</t>
        </is>
      </c>
    </row>
    <row r="159">
      <c r="A159" t="inlineStr">
        <is>
          <t>SEC-CSRF-001</t>
        </is>
      </c>
      <c r="B159" t="inlineStr">
        <is>
          <t>CSRF Hardening</t>
        </is>
      </c>
      <c r="C159" t="inlineStr">
        <is>
          <t>Security</t>
        </is>
      </c>
      <c r="D159" t="inlineStr">
        <is>
          <t>CSRF configuration default is secure</t>
        </is>
      </c>
      <c r="E159" t="inlineStr">
        <is>
          <t>Local only; disposable DB for any mutation</t>
        </is>
      </c>
      <c r="F159" t="inlineStr">
        <is>
          <t>Exercise the real CsrfGuard across the auth matrix</t>
        </is>
      </c>
      <c r="G159" t="inlineStr">
        <is>
          <t>Cookie-auth mutations require a valid double-submit token; everything else unaffected</t>
        </is>
      </c>
      <c r="H159" t="inlineStr">
        <is>
          <t>P1</t>
        </is>
      </c>
      <c r="I159" t="inlineStr">
        <is>
          <t>Security</t>
        </is>
      </c>
      <c r="J159" t="inlineStr">
        <is>
          <t>Automated</t>
        </is>
      </c>
      <c r="K159" t="inlineStr">
        <is>
          <t>PASS</t>
        </is>
      </c>
      <c r="L159" t="inlineStr">
        <is>
          <t>CSRF_MODE now defaults to ENFORCE in BOTH declarations (env.validation.ts zod schema and the standalone loadCookieConfig fallback used by the hand-constructed guard). Verified at runtime: loadCookieConfig({}).csrfMode = "enforce" and validateEnv(minimal).CSRF_MODE = "enforce". Two tests pin it, including one asserting the two declarations agree — a drift between them would have disabled CSRF for the guard while the schema claimed otherwise.</t>
        </is>
      </c>
      <c r="M159" t="inlineStr">
        <is>
          <t>backend/test/unit/csrf.guard.spec.ts (38 cases) — real CsrfGuard, full decision matrix; runtime probe</t>
        </is>
      </c>
      <c r="N159" t="inlineStr">
        <is>
          <t>2026-09-04</t>
        </is>
      </c>
      <c r="O159" t="inlineStr">
        <is>
          <t>Nothing previously pinned the default, so a revert to "off" would have been silent.</t>
        </is>
      </c>
    </row>
    <row r="160">
      <c r="A160" t="inlineStr">
        <is>
          <t>SEC-CSRF-002</t>
        </is>
      </c>
      <c r="B160" t="inlineStr">
        <is>
          <t>CSRF Hardening</t>
        </is>
      </c>
      <c r="C160" t="inlineStr">
        <is>
          <t>Security</t>
        </is>
      </c>
      <c r="D160" t="inlineStr">
        <is>
          <t>Cookie-auth mutation requires a CSRF token</t>
        </is>
      </c>
      <c r="E160" t="inlineStr">
        <is>
          <t>Local only; disposable DB for any mutation</t>
        </is>
      </c>
      <c r="F160" t="inlineStr">
        <is>
          <t>Exercise the real CsrfGuard across the auth matrix</t>
        </is>
      </c>
      <c r="G160" t="inlineStr">
        <is>
          <t>Cookie-auth mutations require a valid double-submit token; everything else unaffected</t>
        </is>
      </c>
      <c r="H160" t="inlineStr">
        <is>
          <t>P1</t>
        </is>
      </c>
      <c r="I160" t="inlineStr">
        <is>
          <t>Security</t>
        </is>
      </c>
      <c r="J160" t="inlineStr">
        <is>
          <t>Automated</t>
        </is>
      </c>
      <c r="K160" t="inlineStr">
        <is>
          <t>PASS</t>
        </is>
      </c>
      <c r="L160" t="inlineStr">
        <is>
          <t>BEFORE (mode off): a cookie-authenticated POST with no token is ACCEPTED — the BF-032 hole, pinned as a test so the regression is explicit. AFTER (enforce): the identical request throws ForbiddenException. POST/PUT/PATCH/DELETE all rejected without a token; the ADMIN auth cookie is protected as well as the customer one.</t>
        </is>
      </c>
      <c r="M160" t="inlineStr">
        <is>
          <t>backend/test/unit/csrf.guard.spec.ts (38 cases) — real CsrfGuard, full decision matrix</t>
        </is>
      </c>
      <c r="N160" t="inlineStr">
        <is>
          <t>2026-09-04</t>
        </is>
      </c>
    </row>
    <row r="161">
      <c r="A161" t="inlineStr">
        <is>
          <t>SEC-CSRF-003</t>
        </is>
      </c>
      <c r="B161" t="inlineStr">
        <is>
          <t>CSRF Hardening</t>
        </is>
      </c>
      <c r="C161" t="inlineStr">
        <is>
          <t>Security</t>
        </is>
      </c>
      <c r="D161" t="inlineStr">
        <is>
          <t>Invalid CSRF token rejected</t>
        </is>
      </c>
      <c r="E161" t="inlineStr">
        <is>
          <t>Local only; disposable DB for any mutation</t>
        </is>
      </c>
      <c r="F161" t="inlineStr">
        <is>
          <t>Exercise the real CsrfGuard across the auth matrix</t>
        </is>
      </c>
      <c r="G161" t="inlineStr">
        <is>
          <t>Cookie-auth mutations require a valid double-submit token; everything else unaffected</t>
        </is>
      </c>
      <c r="H161" t="inlineStr">
        <is>
          <t>P1</t>
        </is>
      </c>
      <c r="I161" t="inlineStr">
        <is>
          <t>Security</t>
        </is>
      </c>
      <c r="J161" t="inlineStr">
        <is>
          <t>Automated</t>
        </is>
      </c>
      <c r="K161" t="inlineStr">
        <is>
          <t>PASS</t>
        </is>
      </c>
      <c r="L161" t="inlineStr">
        <is>
          <t>Rejected for: mismatched token, empty header, empty cookie, header-without-cookie, cookie-without-header, a token that is a PREFIX of the cookie, cookie-plus-padding, wrong header name, malformed value, and a token from another session. Comparison is constant-time (timingSafeEqual) with a length pre-check.</t>
        </is>
      </c>
      <c r="M161" t="inlineStr">
        <is>
          <t>backend/test/unit/csrf.guard.spec.ts (38 cases) — real CsrfGuard, full decision matrix</t>
        </is>
      </c>
      <c r="N161" t="inlineStr">
        <is>
          <t>2026-09-04</t>
        </is>
      </c>
      <c r="O161" t="inlineStr">
        <is>
          <t>12 negative cases.</t>
        </is>
      </c>
    </row>
    <row r="162">
      <c r="A162" t="inlineStr">
        <is>
          <t>SEC-CSRF-004</t>
        </is>
      </c>
      <c r="B162" t="inlineStr">
        <is>
          <t>CSRF Hardening</t>
        </is>
      </c>
      <c r="C162" t="inlineStr">
        <is>
          <t>Security</t>
        </is>
      </c>
      <c r="D162" t="inlineStr">
        <is>
          <t>Valid CSRF token accepted</t>
        </is>
      </c>
      <c r="E162" t="inlineStr">
        <is>
          <t>Local only; disposable DB for any mutation</t>
        </is>
      </c>
      <c r="F162" t="inlineStr">
        <is>
          <t>Exercise the real CsrfGuard across the auth matrix</t>
        </is>
      </c>
      <c r="G162" t="inlineStr">
        <is>
          <t>Cookie-auth mutations require a valid double-submit token; everything else unaffected</t>
        </is>
      </c>
      <c r="H162" t="inlineStr">
        <is>
          <t>P1</t>
        </is>
      </c>
      <c r="I162" t="inlineStr">
        <is>
          <t>Security</t>
        </is>
      </c>
      <c r="J162" t="inlineStr">
        <is>
          <t>Automated</t>
        </is>
      </c>
      <c r="K162" t="inlineStr">
        <is>
          <t>PASS</t>
        </is>
      </c>
      <c r="L162" t="inlineStr">
        <is>
          <t>A matching XSRF-TOKEN cookie / X-CSRF-Token header pair passes the guard.</t>
        </is>
      </c>
      <c r="M162" t="inlineStr">
        <is>
          <t>backend/test/unit/csrf.guard.spec.ts (38 cases) — real CsrfGuard, full decision matrix</t>
        </is>
      </c>
      <c r="N162" t="inlineStr">
        <is>
          <t>2026-09-04</t>
        </is>
      </c>
    </row>
    <row r="163">
      <c r="A163" t="inlineStr">
        <is>
          <t>SEC-CSRF-005</t>
        </is>
      </c>
      <c r="B163" t="inlineStr">
        <is>
          <t>CSRF Hardening</t>
        </is>
      </c>
      <c r="C163" t="inlineStr">
        <is>
          <t>Security</t>
        </is>
      </c>
      <c r="D163" t="inlineStr">
        <is>
          <t>Safe methods do not require CSRF</t>
        </is>
      </c>
      <c r="E163" t="inlineStr">
        <is>
          <t>Local only; disposable DB for any mutation</t>
        </is>
      </c>
      <c r="F163" t="inlineStr">
        <is>
          <t>Exercise the real CsrfGuard across the auth matrix</t>
        </is>
      </c>
      <c r="G163" t="inlineStr">
        <is>
          <t>Cookie-auth mutations require a valid double-submit token; everything else unaffected</t>
        </is>
      </c>
      <c r="H163" t="inlineStr">
        <is>
          <t>P1</t>
        </is>
      </c>
      <c r="I163" t="inlineStr">
        <is>
          <t>Security</t>
        </is>
      </c>
      <c r="J163" t="inlineStr">
        <is>
          <t>Automated</t>
        </is>
      </c>
      <c r="K163" t="inlineStr">
        <is>
          <t>PASS</t>
        </is>
      </c>
      <c r="L163" t="inlineStr">
        <is>
          <t>GET, HEAD and OPTIONS bypass with a cookie session and no token. They change no state, and requiring a token would break every plain navigation.</t>
        </is>
      </c>
      <c r="M163" t="inlineStr">
        <is>
          <t>backend/test/unit/csrf.guard.spec.ts (38 cases) — real CsrfGuard, full decision matrix</t>
        </is>
      </c>
      <c r="N163" t="inlineStr">
        <is>
          <t>2026-09-04</t>
        </is>
      </c>
    </row>
    <row r="164">
      <c r="A164" t="inlineStr">
        <is>
          <t>SEC-CSRF-006</t>
        </is>
      </c>
      <c r="B164" t="inlineStr">
        <is>
          <t>CSRF Hardening</t>
        </is>
      </c>
      <c r="C164" t="inlineStr">
        <is>
          <t>Security</t>
        </is>
      </c>
      <c r="D164" t="inlineStr">
        <is>
          <t>Address create with CSRF (browser)</t>
        </is>
      </c>
      <c r="E164" t="inlineStr">
        <is>
          <t>Local only; disposable DB for any mutation</t>
        </is>
      </c>
      <c r="F164" t="inlineStr">
        <is>
          <t>Exercise the real CsrfGuard across the auth matrix</t>
        </is>
      </c>
      <c r="G164" t="inlineStr">
        <is>
          <t>Cookie-auth mutations require a valid double-submit token; everything else unaffected</t>
        </is>
      </c>
      <c r="H164" t="inlineStr">
        <is>
          <t>P1</t>
        </is>
      </c>
      <c r="I164" t="inlineStr">
        <is>
          <t>Security</t>
        </is>
      </c>
      <c r="J164" t="inlineStr">
        <is>
          <t>Automated</t>
        </is>
      </c>
      <c r="K164" t="inlineStr">
        <is>
          <t>NOT_RUN</t>
        </is>
      </c>
      <c r="L164" t="inlineStr">
        <is>
          <t>NOT EXECUTED. Two environment blockers, neither caused by this change and neither worked around: (1) the browser suite cannot start because the developer's own `next dev` occupies the frontend and Next 16 refuses a second dev server for the same directory — killing their process was off the table, and adopting it via reuseExistingServer would have aimed the tests at their real backend and the SHARED DEV database; (2) Docker Desktop stopped partway through the phase, so the disposable-MySQL HTTP runner could not start either. The test code is written and committed to the working tree. Guard-level equivalent IS proven (SEC-CSRF-002/004): the address route is the exact path used in the unit matrix.</t>
        </is>
      </c>
      <c r="M164" t="inlineStr">
        <is>
          <t>e2e/tests/security.spec.ts SEC-006 (written, not executed)</t>
        </is>
      </c>
      <c r="N164" t="inlineStr">
        <is>
          <t>2026-09-04</t>
        </is>
      </c>
      <c r="O164" t="inlineStr">
        <is>
          <t>Ready to run once the frontend port is free and Docker is up.</t>
        </is>
      </c>
    </row>
    <row r="165">
      <c r="A165" t="inlineStr">
        <is>
          <t>SEC-CSRF-007</t>
        </is>
      </c>
      <c r="B165" t="inlineStr">
        <is>
          <t>CSRF Hardening</t>
        </is>
      </c>
      <c r="C165" t="inlineStr">
        <is>
          <t>Security</t>
        </is>
      </c>
      <c r="D165" t="inlineStr">
        <is>
          <t>Address update with CSRF (browser)</t>
        </is>
      </c>
      <c r="E165" t="inlineStr">
        <is>
          <t>Local only; disposable DB for any mutation</t>
        </is>
      </c>
      <c r="F165" t="inlineStr">
        <is>
          <t>Exercise the real CsrfGuard across the auth matrix</t>
        </is>
      </c>
      <c r="G165" t="inlineStr">
        <is>
          <t>Cookie-auth mutations require a valid double-submit token; everything else unaffected</t>
        </is>
      </c>
      <c r="H165" t="inlineStr">
        <is>
          <t>P1</t>
        </is>
      </c>
      <c r="I165" t="inlineStr">
        <is>
          <t>Security</t>
        </is>
      </c>
      <c r="J165" t="inlineStr">
        <is>
          <t>Automated</t>
        </is>
      </c>
      <c r="K165" t="inlineStr">
        <is>
          <t>NOT_RUN</t>
        </is>
      </c>
      <c r="L165" t="inlineStr">
        <is>
          <t>NOT EXECUTED. Two environment blockers, neither caused by this change and neither worked around: (1) the browser suite cannot start because the developer's own `next dev` occupies the frontend and Next 16 refuses a second dev server for the same directory — killing their process was off the table, and adopting it via reuseExistingServer would have aimed the tests at their real backend and the SHARED DEV database; (2) Docker Desktop stopped partway through the phase, so the disposable-MySQL HTTP runner could not start either. The test code is written and committed to the working tree.</t>
        </is>
      </c>
      <c r="M165" t="inlineStr">
        <is>
          <t>e2e/tests/security.spec.ts (written, not executed)</t>
        </is>
      </c>
      <c r="N165" t="inlineStr">
        <is>
          <t>2026-09-04</t>
        </is>
      </c>
    </row>
    <row r="166">
      <c r="A166" t="inlineStr">
        <is>
          <t>SEC-CSRF-008</t>
        </is>
      </c>
      <c r="B166" t="inlineStr">
        <is>
          <t>CSRF Hardening</t>
        </is>
      </c>
      <c r="C166" t="inlineStr">
        <is>
          <t>Security</t>
        </is>
      </c>
      <c r="D166" t="inlineStr">
        <is>
          <t>Checkout mutation with/without CSRF (browser)</t>
        </is>
      </c>
      <c r="E166" t="inlineStr">
        <is>
          <t>Local only; disposable DB for any mutation</t>
        </is>
      </c>
      <c r="F166" t="inlineStr">
        <is>
          <t>Exercise the real CsrfGuard across the auth matrix</t>
        </is>
      </c>
      <c r="G166" t="inlineStr">
        <is>
          <t>Cookie-auth mutations require a valid double-submit token; everything else unaffected</t>
        </is>
      </c>
      <c r="H166" t="inlineStr">
        <is>
          <t>P1</t>
        </is>
      </c>
      <c r="I166" t="inlineStr">
        <is>
          <t>Security</t>
        </is>
      </c>
      <c r="J166" t="inlineStr">
        <is>
          <t>Automated</t>
        </is>
      </c>
      <c r="K166" t="inlineStr">
        <is>
          <t>NOT_RUN</t>
        </is>
      </c>
      <c r="L166" t="inlineStr">
        <is>
          <t>NOT EXECUTED. Two environment blockers, neither caused by this change and neither worked around: (1) the browser suite cannot start because the developer's own `next dev` occupies the frontend and Next 16 refuses a second dev server for the same directory — killing their process was off the table, and adopting it via reuseExistingServer would have aimed the tests at their real backend and the SHARED DEV database; (2) Docker Desktop stopped partway through the phase, so the disposable-MySQL HTTP runner could not start either. The test code is written and committed to the working tree.</t>
        </is>
      </c>
      <c r="M166" t="inlineStr">
        <is>
          <t>e2e/tests/security.spec.ts (written, not executed)</t>
        </is>
      </c>
      <c r="N166" t="inlineStr">
        <is>
          <t>2026-09-04</t>
        </is>
      </c>
      <c r="O166" t="inlineStr">
        <is>
          <t>Checkout is a cookie-auth POST, so it is covered by the same guard branch proven at unit level.</t>
        </is>
      </c>
    </row>
    <row r="167">
      <c r="A167" t="inlineStr">
        <is>
          <t>SEC-CSRF-009</t>
        </is>
      </c>
      <c r="B167" t="inlineStr">
        <is>
          <t>CSRF Hardening</t>
        </is>
      </c>
      <c r="C167" t="inlineStr">
        <is>
          <t>Security</t>
        </is>
      </c>
      <c r="D167" t="inlineStr">
        <is>
          <t>Cross-origin attack rejected</t>
        </is>
      </c>
      <c r="E167" t="inlineStr">
        <is>
          <t>Local only; disposable DB for any mutation</t>
        </is>
      </c>
      <c r="F167" t="inlineStr">
        <is>
          <t>Exercise the real CsrfGuard across the auth matrix</t>
        </is>
      </c>
      <c r="G167" t="inlineStr">
        <is>
          <t>Cookie-auth mutations require a valid double-submit token; everything else unaffected</t>
        </is>
      </c>
      <c r="H167" t="inlineStr">
        <is>
          <t>P1</t>
        </is>
      </c>
      <c r="I167" t="inlineStr">
        <is>
          <t>Security</t>
        </is>
      </c>
      <c r="J167" t="inlineStr">
        <is>
          <t>Automated</t>
        </is>
      </c>
      <c r="K167" t="inlineStr">
        <is>
          <t>NOT_RUN</t>
        </is>
      </c>
      <c r="L167" t="inlineStr">
        <is>
          <t>NOT PROVEN END-TO-END. NOT EXECUTED. Two environment blockers, neither caused by this change and neither worked around: (1) the browser suite cannot start because the developer's own `next dev` occupies the frontend and Next 16 refuses a second dev server for the same directory — killing their process was off the table, and adopting it via reuseExistingServer would have aimed the tests at their real backend and the SHARED DEV database; (2) Docker Desktop stopped partway through the phase, so the disposable-MySQL HTTP runner could not start either. The test code is written and committed to the working tree. The guard-level property a cross-site POST depends on IS proven: a cross-site form can send cookies but cannot set a header, and a cookie-auth mutation with no X-CSRF-Token is rejected. That is the mechanism, but it is not the same as demonstrating a real cross-origin request being blocked.</t>
        </is>
      </c>
      <c r="M167" t="inlineStr">
        <is>
          <t>backend/test/unit/csrf.guard.spec.ts (38 cases) — real CsrfGuard, full decision matrix</t>
        </is>
      </c>
      <c r="N167" t="inlineStr">
        <is>
          <t>2026-09-04</t>
        </is>
      </c>
      <c r="O167" t="inlineStr">
        <is>
          <t>Deliberately NOT claimed as passing.</t>
        </is>
      </c>
    </row>
    <row r="168">
      <c r="A168" t="inlineStr">
        <is>
          <t>SEC-CSRF-010</t>
        </is>
      </c>
      <c r="B168" t="inlineStr">
        <is>
          <t>CSRF Hardening</t>
        </is>
      </c>
      <c r="C168" t="inlineStr">
        <is>
          <t>Security</t>
        </is>
      </c>
      <c r="D168" t="inlineStr">
        <is>
          <t>Webhook unaffected by CSRF</t>
        </is>
      </c>
      <c r="E168" t="inlineStr">
        <is>
          <t>Local only; disposable DB for any mutation</t>
        </is>
      </c>
      <c r="F168" t="inlineStr">
        <is>
          <t>Exercise the real CsrfGuard across the auth matrix</t>
        </is>
      </c>
      <c r="G168" t="inlineStr">
        <is>
          <t>Cookie-auth mutations require a valid double-submit token; everything else unaffected</t>
        </is>
      </c>
      <c r="H168" t="inlineStr">
        <is>
          <t>P1</t>
        </is>
      </c>
      <c r="I168" t="inlineStr">
        <is>
          <t>Security</t>
        </is>
      </c>
      <c r="J168" t="inlineStr">
        <is>
          <t>Automated</t>
        </is>
      </c>
      <c r="K168" t="inlineStr">
        <is>
          <t>PASS</t>
        </is>
      </c>
      <c r="L168" t="inlineStr">
        <is>
          <t>The Midtrans webhook carries no auth cookie, so it exits the guard at the cookie-auth check and is never CSRF-evaluated — proven directly against the real webhook path. CSRF is therefore not what protects the webhook, and enabling enforce cannot break it.</t>
        </is>
      </c>
      <c r="M168" t="inlineStr">
        <is>
          <t>backend/test/unit/csrf.guard.spec.ts (38 cases) — real CsrfGuard, full decision matrix</t>
        </is>
      </c>
      <c r="N168" t="inlineStr">
        <is>
          <t>2026-09-04</t>
        </is>
      </c>
      <c r="O168" t="inlineStr">
        <is>
          <t>The webhook is deliberately NOT in the exempt list; it does not need to be, which is the stronger arrangement.</t>
        </is>
      </c>
    </row>
    <row r="169">
      <c r="A169" t="inlineStr">
        <is>
          <t>SEC-CSRF-011</t>
        </is>
      </c>
      <c r="B169" t="inlineStr">
        <is>
          <t>CSRF Hardening</t>
        </is>
      </c>
      <c r="C169" t="inlineStr">
        <is>
          <t>Security</t>
        </is>
      </c>
      <c r="D169" t="inlineStr">
        <is>
          <t>Webhook signature still authoritative</t>
        </is>
      </c>
      <c r="E169" t="inlineStr">
        <is>
          <t>Local only; disposable DB for any mutation</t>
        </is>
      </c>
      <c r="F169" t="inlineStr">
        <is>
          <t>Exercise the real CsrfGuard across the auth matrix</t>
        </is>
      </c>
      <c r="G169" t="inlineStr">
        <is>
          <t>Cookie-auth mutations require a valid double-submit token; everything else unaffected</t>
        </is>
      </c>
      <c r="H169" t="inlineStr">
        <is>
          <t>P1</t>
        </is>
      </c>
      <c r="I169" t="inlineStr">
        <is>
          <t>Security</t>
        </is>
      </c>
      <c r="J169" t="inlineStr">
        <is>
          <t>Automated</t>
        </is>
      </c>
      <c r="K169" t="inlineStr">
        <is>
          <t>NOT_RUN</t>
        </is>
      </c>
      <c r="L169" t="inlineStr">
        <is>
          <t>Not executed — needs the HTTP runner (Docker down). Verified by source trace only: the webhook verifies the Midtrans signature, returns 401 on failure, and re-fetches authoritative status from the provider rather than trusting the body. Unchanged by this phase — no webhook code was touched.</t>
        </is>
      </c>
      <c r="M169" t="inlineStr">
        <is>
          <t>Source trace of payment-webhook.service.ts</t>
        </is>
      </c>
      <c r="N169" t="inlineStr">
        <is>
          <t>2026-09-04</t>
        </is>
      </c>
      <c r="O169" t="inlineStr">
        <is>
          <t>Signature handling is outside this phase's diff.</t>
        </is>
      </c>
    </row>
    <row r="170">
      <c r="A170" t="inlineStr">
        <is>
          <t>SEC-CSRF-012</t>
        </is>
      </c>
      <c r="B170" t="inlineStr">
        <is>
          <t>CSRF Hardening</t>
        </is>
      </c>
      <c r="C170" t="inlineStr">
        <is>
          <t>Security</t>
        </is>
      </c>
      <c r="D170" t="inlineStr">
        <is>
          <t>Login / refresh / logout regression</t>
        </is>
      </c>
      <c r="E170" t="inlineStr">
        <is>
          <t>Local only; disposable DB for any mutation</t>
        </is>
      </c>
      <c r="F170" t="inlineStr">
        <is>
          <t>Exercise the real CsrfGuard across the auth matrix</t>
        </is>
      </c>
      <c r="G170" t="inlineStr">
        <is>
          <t>Cookie-auth mutations require a valid double-submit token; everything else unaffected</t>
        </is>
      </c>
      <c r="H170" t="inlineStr">
        <is>
          <t>P1</t>
        </is>
      </c>
      <c r="I170" t="inlineStr">
        <is>
          <t>Security</t>
        </is>
      </c>
      <c r="J170" t="inlineStr">
        <is>
          <t>Automated</t>
        </is>
      </c>
      <c r="K170" t="inlineStr">
        <is>
          <t>NOT_RUN</t>
        </is>
      </c>
      <c r="L170" t="inlineStr">
        <is>
          <t>Not executed end-to-end (Docker down). Guard-level behaviour IS pinned: /auth/google, /auth/refresh and /admin/auth/login are exempt (they establish the session — there is no session to forge yet), and each exemption is tested. LOGOUT is deliberately NOT exempt and is asserted to require a token: it is a cookie-authenticated state change, and a forced logout is a real if minor CSRF impact.</t>
        </is>
      </c>
      <c r="M170" t="inlineStr">
        <is>
          <t>backend/test/unit/csrf.guard.spec.ts (38 cases) — real CsrfGuard, full decision matrix</t>
        </is>
      </c>
      <c r="N170" t="inlineStr">
        <is>
          <t>2026-09-04</t>
        </is>
      </c>
      <c r="O170" t="inlineStr">
        <is>
          <t>The frontend already sends X-CSRF-Token on every unsafe method, so logout continues to work.</t>
        </is>
      </c>
    </row>
    <row r="171">
      <c r="A171" t="inlineStr">
        <is>
          <t>SEC-CSRF-013</t>
        </is>
      </c>
      <c r="B171" t="inlineStr">
        <is>
          <t>CSRF Hardening</t>
        </is>
      </c>
      <c r="C171" t="inlineStr">
        <is>
          <t>Security</t>
        </is>
      </c>
      <c r="D171" t="inlineStr">
        <is>
          <t>Admin mutation behaviour</t>
        </is>
      </c>
      <c r="E171" t="inlineStr">
        <is>
          <t>Local only; disposable DB for any mutation</t>
        </is>
      </c>
      <c r="F171" t="inlineStr">
        <is>
          <t>Exercise the real CsrfGuard across the auth matrix</t>
        </is>
      </c>
      <c r="G171" t="inlineStr">
        <is>
          <t>Cookie-auth mutations require a valid double-submit token; everything else unaffected</t>
        </is>
      </c>
      <c r="H171" t="inlineStr">
        <is>
          <t>P1</t>
        </is>
      </c>
      <c r="I171" t="inlineStr">
        <is>
          <t>Security</t>
        </is>
      </c>
      <c r="J171" t="inlineStr">
        <is>
          <t>Automated</t>
        </is>
      </c>
      <c r="K171" t="inlineStr">
        <is>
          <t>PASS</t>
        </is>
      </c>
      <c r="L171" t="inlineStr">
        <is>
          <t>Admin authenticates by Bearer (frontend lib/api/client.ts sends Authorization for the admin audience), and Bearer requests bypass CSRF — correct, because a header is not an ambient credential and cannot be set cross-site. Should admin later move to cookies, the guard already protects ms_admin_access; that case is tested now so the cutover cannot silently lose protection.</t>
        </is>
      </c>
      <c r="M171" t="inlineStr">
        <is>
          <t>backend/test/unit/csrf.guard.spec.ts (38 cases) — real CsrfGuard, full decision matrix</t>
        </is>
      </c>
      <c r="N171" t="inlineStr">
        <is>
          <t>2026-09-04</t>
        </is>
      </c>
    </row>
    <row r="172">
      <c r="A172" t="inlineStr">
        <is>
          <t>SEC-CSRF-014</t>
        </is>
      </c>
      <c r="B172" t="inlineStr">
        <is>
          <t>CSRF Hardening</t>
        </is>
      </c>
      <c r="C172" t="inlineStr">
        <is>
          <t>Security</t>
        </is>
      </c>
      <c r="D172" t="inlineStr">
        <is>
          <t>CSRF token security properties</t>
        </is>
      </c>
      <c r="E172" t="inlineStr">
        <is>
          <t>Local only; disposable DB for any mutation</t>
        </is>
      </c>
      <c r="F172" t="inlineStr">
        <is>
          <t>Exercise the real CsrfGuard across the auth matrix</t>
        </is>
      </c>
      <c r="G172" t="inlineStr">
        <is>
          <t>Cookie-auth mutations require a valid double-submit token; everything else unaffected</t>
        </is>
      </c>
      <c r="H172" t="inlineStr">
        <is>
          <t>P1</t>
        </is>
      </c>
      <c r="I172" t="inlineStr">
        <is>
          <t>Security</t>
        </is>
      </c>
      <c r="J172" t="inlineStr">
        <is>
          <t>Automated</t>
        </is>
      </c>
      <c r="K172" t="inlineStr">
        <is>
          <t>PASS</t>
        </is>
      </c>
      <c r="L172" t="inlineStr">
        <is>
          <t>randomBytes(32) → 256 bits; 200 generated tokens were all distinct and matched ^[A-Za-z0-9_-]{43}$ (base64url). Constant-time comparison. Not derived from the JWT. Never read from the query string (asserted). Not rotated per request — rotation would break every in-flight tab. The rejection message is exactly "Invalid CSRF token" and contains no token, path detail or internals.</t>
        </is>
      </c>
      <c r="M172" t="inlineStr">
        <is>
          <t>backend/test/unit/csrf.guard.spec.ts (38 cases) — real CsrfGuard, full decision matrix</t>
        </is>
      </c>
      <c r="N172" t="inlineStr">
        <is>
          <t>2026-09-04</t>
        </is>
      </c>
    </row>
    <row r="173">
      <c r="A173" t="inlineStr">
        <is>
          <t>SEC-CSRF-015</t>
        </is>
      </c>
      <c r="B173" t="inlineStr">
        <is>
          <t>CSRF Hardening</t>
        </is>
      </c>
      <c r="C173" t="inlineStr">
        <is>
          <t>Security</t>
        </is>
      </c>
      <c r="D173" t="inlineStr">
        <is>
          <t>Negative token cases</t>
        </is>
      </c>
      <c r="E173" t="inlineStr">
        <is>
          <t>Local only; disposable DB for any mutation</t>
        </is>
      </c>
      <c r="F173" t="inlineStr">
        <is>
          <t>Exercise the real CsrfGuard across the auth matrix</t>
        </is>
      </c>
      <c r="G173" t="inlineStr">
        <is>
          <t>Cookie-auth mutations require a valid double-submit token; everything else unaffected</t>
        </is>
      </c>
      <c r="H173" t="inlineStr">
        <is>
          <t>P1</t>
        </is>
      </c>
      <c r="I173" t="inlineStr">
        <is>
          <t>Security</t>
        </is>
      </c>
      <c r="J173" t="inlineStr">
        <is>
          <t>Automated</t>
        </is>
      </c>
      <c r="K173" t="inlineStr">
        <is>
          <t>PASS</t>
        </is>
      </c>
      <c r="L173" t="inlineStr">
        <is>
          <t>See SEC-CSRF-003 — 12 negative cases, all rejected.</t>
        </is>
      </c>
      <c r="M173" t="inlineStr">
        <is>
          <t>backend/test/unit/csrf.guard.spec.ts (38 cases) — real CsrfGuard, full decision matrix</t>
        </is>
      </c>
      <c r="N173" t="inlineStr">
        <is>
          <t>2026-09-04</t>
        </is>
      </c>
    </row>
    <row r="174">
      <c r="A174" t="inlineStr">
        <is>
          <t>SEC-CSRF-016</t>
        </is>
      </c>
      <c r="B174" t="inlineStr">
        <is>
          <t>CSRF Hardening</t>
        </is>
      </c>
      <c r="C174" t="inlineStr">
        <is>
          <t>Security</t>
        </is>
      </c>
      <c r="D174" t="inlineStr">
        <is>
          <t>Cookie security attributes</t>
        </is>
      </c>
      <c r="E174" t="inlineStr">
        <is>
          <t>Local only; disposable DB for any mutation</t>
        </is>
      </c>
      <c r="F174" t="inlineStr">
        <is>
          <t>Exercise the real CsrfGuard across the auth matrix</t>
        </is>
      </c>
      <c r="G174" t="inlineStr">
        <is>
          <t>Cookie-auth mutations require a valid double-submit token; everything else unaffected</t>
        </is>
      </c>
      <c r="H174" t="inlineStr">
        <is>
          <t>P1</t>
        </is>
      </c>
      <c r="I174" t="inlineStr">
        <is>
          <t>Security</t>
        </is>
      </c>
      <c r="J174" t="inlineStr">
        <is>
          <t>Automated</t>
        </is>
      </c>
      <c r="K174" t="inlineStr">
        <is>
          <t>PASS</t>
        </is>
      </c>
      <c r="L174" t="inlineStr">
        <is>
          <t>The guard issues ONLY the XSRF-TOKEN cookie, with httpOnly:false (the SPA must read it for double-submit) and secure/sameSite/domain taken from config. It never issues or re-issues ms_access / ms_admin_access, so the auth credential is never exposed to JavaScript. Asserted explicitly.</t>
        </is>
      </c>
      <c r="M174" t="inlineStr">
        <is>
          <t>backend/test/unit/csrf.guard.spec.ts (38 cases) — real CsrfGuard, full decision matrix</t>
        </is>
      </c>
      <c r="N174" t="inlineStr">
        <is>
          <t>2026-09-04</t>
        </is>
      </c>
      <c r="O174" t="inlineStr">
        <is>
          <t>COOKIE_SAMESITE defaults to lax — defence in depth, not a replacement for the token.</t>
        </is>
      </c>
    </row>
    <row r="175">
      <c r="A175" t="inlineStr">
        <is>
          <t>SEC-CSRF-017</t>
        </is>
      </c>
      <c r="B175" t="inlineStr">
        <is>
          <t>CSRF Hardening</t>
        </is>
      </c>
      <c r="C175" t="inlineStr">
        <is>
          <t>Security</t>
        </is>
      </c>
      <c r="D175" t="inlineStr">
        <is>
          <t>Frontend CSRF integration</t>
        </is>
      </c>
      <c r="E175" t="inlineStr">
        <is>
          <t>Local only; disposable DB for any mutation</t>
        </is>
      </c>
      <c r="F175" t="inlineStr">
        <is>
          <t>Exercise the real CsrfGuard across the auth matrix</t>
        </is>
      </c>
      <c r="G175" t="inlineStr">
        <is>
          <t>Cookie-auth mutations require a valid double-submit token; everything else unaffected</t>
        </is>
      </c>
      <c r="H175" t="inlineStr">
        <is>
          <t>P1</t>
        </is>
      </c>
      <c r="I175" t="inlineStr">
        <is>
          <t>Security</t>
        </is>
      </c>
      <c r="J175" t="inlineStr">
        <is>
          <t>Automated</t>
        </is>
      </c>
      <c r="K175" t="inlineStr">
        <is>
          <t>AUDIT_ONLY</t>
        </is>
      </c>
      <c r="L175" t="inlineStr">
        <is>
          <t>No frontend change was needed: lib/api/client.ts already reads the XSRF-TOKEN cookie and sends X-CSRF-Token on unsafe methods, with credentials:"include". Verified by source trace; not exercised in a browser this phase (see SEC-CSRF-006). Frontend suite remains 96/96.</t>
        </is>
      </c>
      <c r="M175" t="inlineStr">
        <is>
          <t>Source trace of frontend/lib/api/client.ts</t>
        </is>
      </c>
      <c r="N175" t="inlineStr">
        <is>
          <t>2026-09-04</t>
        </is>
      </c>
      <c r="O175" t="inlineStr">
        <is>
          <t>No third-party CSRF library was added.</t>
        </is>
      </c>
    </row>
    <row r="176">
      <c r="A176" t="inlineStr">
        <is>
          <t>SEC-CSRF-018</t>
        </is>
      </c>
      <c r="B176" t="inlineStr">
        <is>
          <t>CSRF Hardening</t>
        </is>
      </c>
      <c r="C176" t="inlineStr">
        <is>
          <t>Security</t>
        </is>
      </c>
      <c r="D176" t="inlineStr">
        <is>
          <t>Existing security suite restored</t>
        </is>
      </c>
      <c r="E176" t="inlineStr">
        <is>
          <t>Local only; disposable DB for any mutation</t>
        </is>
      </c>
      <c r="F176" t="inlineStr">
        <is>
          <t>Exercise the real CsrfGuard across the auth matrix</t>
        </is>
      </c>
      <c r="G176" t="inlineStr">
        <is>
          <t>Cookie-auth mutations require a valid double-submit token; everything else unaffected</t>
        </is>
      </c>
      <c r="H176" t="inlineStr">
        <is>
          <t>P1</t>
        </is>
      </c>
      <c r="I176" t="inlineStr">
        <is>
          <t>Security</t>
        </is>
      </c>
      <c r="J176" t="inlineStr">
        <is>
          <t>Automated</t>
        </is>
      </c>
      <c r="K176" t="inlineStr">
        <is>
          <t>NOT_RUN</t>
        </is>
      </c>
      <c r="L176" t="inlineStr">
        <is>
          <t>SEC-006/007/008 were EMPTY test.fixme stubs, skipped because the harness inherited CSRF_MODE=off from the developer's backend/.env. They are now real tests, and the isolated stack sets AUTH_COOKIE_EXTRACTOR_ENABLED=true and CSRF_MODE=enforce EXPLICITLY so the security suite no longer tracks whatever a developer happens to have configured locally. Not executed this phase — NOT EXECUTED. Two environment blockers, neither caused by this change and neither worked around: (1) the browser suite cannot start because the developer's own `next dev` occupies the frontend and Next 16 refuses a second dev server for the same directory — killing their process was off the table, and adopting it via reuseExistingServer would have aimed the tests at their real backend and the SHARED DEV database; (2) Docker Desktop stopped partway through the phase, so the disposable-MySQL HTTP runner could not start either. The test code is written and committed to the working tree.</t>
        </is>
      </c>
      <c r="M176" t="inlineStr">
        <is>
          <t>e2e/fixtures/isolated-stack.js; e2e/tests/security.spec.ts</t>
        </is>
      </c>
      <c r="N176" t="inlineStr">
        <is>
          <t>2026-09-04</t>
        </is>
      </c>
      <c r="O176" t="inlineStr">
        <is>
          <t>The harness previously depended on a developer's personal .env for its security posture, which is itself a defect this fixes.</t>
        </is>
      </c>
    </row>
    <row r="177">
      <c r="A177" t="inlineStr">
        <is>
          <t>WA-001</t>
        </is>
      </c>
      <c r="B177" t="inlineStr">
        <is>
          <t>WhatsApp Lifecycle</t>
        </is>
      </c>
      <c r="C177" t="inlineStr">
        <is>
          <t>Notifications</t>
        </is>
      </c>
      <c r="D177" t="inlineStr">
        <is>
          <t>BANK_TRANSFER order creates a customer invoice row</t>
        </is>
      </c>
      <c r="E177" t="inlineStr">
        <is>
          <t>Local only; stubbed Qontak transport; no database</t>
        </is>
      </c>
      <c r="F177" t="inlineStr">
        <is>
          <t>Drive the real consumer/registry/builder/provider and capture the Qontak body</t>
        </is>
      </c>
      <c r="G177" t="inlineStr">
        <is>
          <t>Correct template id, recipient, parameter order and CTA per the business contract</t>
        </is>
      </c>
      <c r="H177" t="inlineStr">
        <is>
          <t>P0</t>
        </is>
      </c>
      <c r="I177" t="inlineStr">
        <is>
          <t>Integration</t>
        </is>
      </c>
      <c r="J177" t="inlineStr">
        <is>
          <t>Automated</t>
        </is>
      </c>
      <c r="K177" t="inlineStr">
        <is>
          <t>PASS</t>
        </is>
      </c>
      <c r="L177" t="inlineStr">
        <is>
          <t>The consumer enqueues a NotificationOutbox row with template order.transfer for a BANK_TRANSFER order.</t>
        </is>
      </c>
      <c r="M177" t="inlineStr">
        <is>
          <t>backend/test/unit/whatsapp-lifecycle.spec.ts (21 cases) — real consumer + registry + builder + Qontak provider; only Prisma and the HTTP transport stubbed</t>
        </is>
      </c>
      <c r="N177" t="inlineStr">
        <is>
          <t>2026-09-04</t>
        </is>
      </c>
    </row>
    <row r="178">
      <c r="A178" t="inlineStr">
        <is>
          <t>WA-002</t>
        </is>
      </c>
      <c r="B178" t="inlineStr">
        <is>
          <t>WhatsApp Lifecycle</t>
        </is>
      </c>
      <c r="C178" t="inlineStr">
        <is>
          <t>Notifications</t>
        </is>
      </c>
      <c r="D178" t="inlineStr">
        <is>
          <t>Invoice resolves QONTAK_INVOICE_TEMPLATE_ID</t>
        </is>
      </c>
      <c r="E178" t="inlineStr">
        <is>
          <t>Local only; stubbed Qontak transport; no database</t>
        </is>
      </c>
      <c r="F178" t="inlineStr">
        <is>
          <t>Drive the real consumer/registry/builder/provider and capture the Qontak body</t>
        </is>
      </c>
      <c r="G178" t="inlineStr">
        <is>
          <t>Correct template id, recipient, parameter order and CTA per the business contract</t>
        </is>
      </c>
      <c r="H178" t="inlineStr">
        <is>
          <t>P0</t>
        </is>
      </c>
      <c r="I178" t="inlineStr">
        <is>
          <t>Integration</t>
        </is>
      </c>
      <c r="J178" t="inlineStr">
        <is>
          <t>Automated</t>
        </is>
      </c>
      <c r="K178" t="inlineStr">
        <is>
          <t>PASS</t>
        </is>
      </c>
      <c r="L178" t="inlineStr">
        <is>
          <t>Captured Qontak body carries message_template_id = the INVOICE id, and is asserted NOT to equal the ORDER (admin) id. Before this phase the invoice resolved QONTAK_ORDER_TEMPLATE_ID and QONTAK_INVOICE_TEMPLATE_ID was dead config.</t>
        </is>
      </c>
      <c r="M178" t="inlineStr">
        <is>
          <t>backend/test/unit/whatsapp-lifecycle.spec.ts (21 cases) — real consumer + registry + builder + Qontak provider; only Prisma and the HTTP transport stubbed</t>
        </is>
      </c>
      <c r="N178" t="inlineStr">
        <is>
          <t>2026-09-04</t>
        </is>
      </c>
    </row>
    <row r="179">
      <c r="A179" t="inlineStr">
        <is>
          <t>WA-003</t>
        </is>
      </c>
      <c r="B179" t="inlineStr">
        <is>
          <t>WhatsApp Lifecycle</t>
        </is>
      </c>
      <c r="C179" t="inlineStr">
        <is>
          <t>Notifications</t>
        </is>
      </c>
      <c r="D179" t="inlineStr">
        <is>
          <t>Invoice recipient is the customer</t>
        </is>
      </c>
      <c r="E179" t="inlineStr">
        <is>
          <t>Local only; stubbed Qontak transport; no database</t>
        </is>
      </c>
      <c r="F179" t="inlineStr">
        <is>
          <t>Drive the real consumer/registry/builder/provider and capture the Qontak body</t>
        </is>
      </c>
      <c r="G179" t="inlineStr">
        <is>
          <t>Correct template id, recipient, parameter order and CTA per the business contract</t>
        </is>
      </c>
      <c r="H179" t="inlineStr">
        <is>
          <t>P0</t>
        </is>
      </c>
      <c r="I179" t="inlineStr">
        <is>
          <t>Integration</t>
        </is>
      </c>
      <c r="J179" t="inlineStr">
        <is>
          <t>Automated</t>
        </is>
      </c>
      <c r="K179" t="inlineStr">
        <is>
          <t>PASS</t>
        </is>
      </c>
      <c r="L179" t="inlineStr">
        <is>
          <t>Row recipient = customer phone (address.phone, falling back to user.phone); asserted not equal to the admin number.</t>
        </is>
      </c>
      <c r="M179" t="inlineStr">
        <is>
          <t>backend/test/unit/whatsapp-lifecycle.spec.ts (21 cases) — real consumer + registry + builder + Qontak provider; only Prisma and the HTTP transport stubbed</t>
        </is>
      </c>
      <c r="N179" t="inlineStr">
        <is>
          <t>2026-09-04</t>
        </is>
      </c>
    </row>
    <row r="180">
      <c r="A180" t="inlineStr">
        <is>
          <t>WA-004</t>
        </is>
      </c>
      <c r="B180" t="inlineStr">
        <is>
          <t>WhatsApp Lifecycle</t>
        </is>
      </c>
      <c r="C180" t="inlineStr">
        <is>
          <t>Notifications</t>
        </is>
      </c>
      <c r="D180" t="inlineStr">
        <is>
          <t>Invoice carries exactly 6 parameters in contract order</t>
        </is>
      </c>
      <c r="E180" t="inlineStr">
        <is>
          <t>Local only; stubbed Qontak transport; no database</t>
        </is>
      </c>
      <c r="F180" t="inlineStr">
        <is>
          <t>Drive the real consumer/registry/builder/provider and capture the Qontak body</t>
        </is>
      </c>
      <c r="G180" t="inlineStr">
        <is>
          <t>Correct template id, recipient, parameter order and CTA per the business contract</t>
        </is>
      </c>
      <c r="H180" t="inlineStr">
        <is>
          <t>P0</t>
        </is>
      </c>
      <c r="I180" t="inlineStr">
        <is>
          <t>Integration</t>
        </is>
      </c>
      <c r="J180" t="inlineStr">
        <is>
          <t>Automated</t>
        </is>
      </c>
      <c r="K180" t="inlineStr">
        <is>
          <t>PASS</t>
        </is>
      </c>
      <c r="L180" t="inlineStr">
        <is>
          <t>keys 1..6 = customer_name, order_no, price, bank_name, account_name, account_number. Values verified: name, order number, "Rp 154.378" (currency-formatted), and bank/holder/account from the ACTIVE PaymentAccount in the DATABASE — not env.</t>
        </is>
      </c>
      <c r="M180" t="inlineStr">
        <is>
          <t>backend/test/unit/whatsapp-lifecycle.spec.ts (21 cases) — real consumer + registry + builder + Qontak provider; only Prisma and the HTTP transport stubbed</t>
        </is>
      </c>
      <c r="N180" t="inlineStr">
        <is>
          <t>2026-09-04</t>
        </is>
      </c>
    </row>
    <row r="181">
      <c r="A181" t="inlineStr">
        <is>
          <t>WA-005</t>
        </is>
      </c>
      <c r="B181" t="inlineStr">
        <is>
          <t>WhatsApp Lifecycle</t>
        </is>
      </c>
      <c r="C181" t="inlineStr">
        <is>
          <t>Notifications</t>
        </is>
      </c>
      <c r="D181" t="inlineStr">
        <is>
          <t>Invoice CTA carries the raw upload token</t>
        </is>
      </c>
      <c r="E181" t="inlineStr">
        <is>
          <t>Local only; stubbed Qontak transport; no database</t>
        </is>
      </c>
      <c r="F181" t="inlineStr">
        <is>
          <t>Drive the real consumer/registry/builder/provider and capture the Qontak body</t>
        </is>
      </c>
      <c r="G181" t="inlineStr">
        <is>
          <t>Correct template id, recipient, parameter order and CTA per the business contract</t>
        </is>
      </c>
      <c r="H181" t="inlineStr">
        <is>
          <t>P0</t>
        </is>
      </c>
      <c r="I181" t="inlineStr">
        <is>
          <t>Integration</t>
        </is>
      </c>
      <c r="J181" t="inlineStr">
        <is>
          <t>Automated</t>
        </is>
      </c>
      <c r="K181" t="inlineStr">
        <is>
          <t>PASS</t>
        </is>
      </c>
      <c r="L181" t="inlineStr">
        <is>
          <t>Button = [{index:"0",type:"url",value:&lt;64-hex token&gt;}]. Asserted it is NOT the order id and contains no "http" — the Qontak template supplies the /payment/ base. Token architecture untouched: hashed at rest, single-use, TTL.</t>
        </is>
      </c>
      <c r="M181" t="inlineStr">
        <is>
          <t>backend/test/unit/whatsapp-lifecycle.spec.ts (21 cases) — real consumer + registry + builder + Qontak provider; only Prisma and the HTTP transport stubbed</t>
        </is>
      </c>
      <c r="N181" t="inlineStr">
        <is>
          <t>2026-09-04</t>
        </is>
      </c>
    </row>
    <row r="182">
      <c r="A182" t="inlineStr">
        <is>
          <t>WA-006</t>
        </is>
      </c>
      <c r="B182" t="inlineStr">
        <is>
          <t>WhatsApp Lifecycle</t>
        </is>
      </c>
      <c r="C182" t="inlineStr">
        <is>
          <t>Notifications</t>
        </is>
      </c>
      <c r="D182" t="inlineStr">
        <is>
          <t>Admin new-order row created alongside the customer row</t>
        </is>
      </c>
      <c r="E182" t="inlineStr">
        <is>
          <t>Local only; stubbed Qontak transport; no database</t>
        </is>
      </c>
      <c r="F182" t="inlineStr">
        <is>
          <t>Drive the real consumer/registry/builder/provider and capture the Qontak body</t>
        </is>
      </c>
      <c r="G182" t="inlineStr">
        <is>
          <t>Correct template id, recipient, parameter order and CTA per the business contract</t>
        </is>
      </c>
      <c r="H182" t="inlineStr">
        <is>
          <t>P0</t>
        </is>
      </c>
      <c r="I182" t="inlineStr">
        <is>
          <t>Integration</t>
        </is>
      </c>
      <c r="J182" t="inlineStr">
        <is>
          <t>Automated</t>
        </is>
      </c>
      <c r="K182" t="inlineStr">
        <is>
          <t>PASS</t>
        </is>
      </c>
      <c r="L182" t="inlineStr">
        <is>
          <t>Both rows are created in ONE transaction; created.length = 2 for BANK_TRANSFER.</t>
        </is>
      </c>
      <c r="M182" t="inlineStr">
        <is>
          <t>backend/test/unit/whatsapp-lifecycle.spec.ts (21 cases) — real consumer + registry + builder + Qontak provider; only Prisma and the HTTP transport stubbed; backend/test/unit/new-order-ops-notification.spec.ts (17 cases, updated to the new contract)</t>
        </is>
      </c>
      <c r="N182" t="inlineStr">
        <is>
          <t>2026-09-04</t>
        </is>
      </c>
    </row>
    <row r="183">
      <c r="A183" t="inlineStr">
        <is>
          <t>WA-007</t>
        </is>
      </c>
      <c r="B183" t="inlineStr">
        <is>
          <t>WhatsApp Lifecycle</t>
        </is>
      </c>
      <c r="C183" t="inlineStr">
        <is>
          <t>Notifications</t>
        </is>
      </c>
      <c r="D183" t="inlineStr">
        <is>
          <t>Admin row resolves QONTAK_ORDER_TEMPLATE_ID</t>
        </is>
      </c>
      <c r="E183" t="inlineStr">
        <is>
          <t>Local only; stubbed Qontak transport; no database</t>
        </is>
      </c>
      <c r="F183" t="inlineStr">
        <is>
          <t>Drive the real consumer/registry/builder/provider and capture the Qontak body</t>
        </is>
      </c>
      <c r="G183" t="inlineStr">
        <is>
          <t>Correct template id, recipient, parameter order and CTA per the business contract</t>
        </is>
      </c>
      <c r="H183" t="inlineStr">
        <is>
          <t>P0</t>
        </is>
      </c>
      <c r="I183" t="inlineStr">
        <is>
          <t>Integration</t>
        </is>
      </c>
      <c r="J183" t="inlineStr">
        <is>
          <t>Automated</t>
        </is>
      </c>
      <c r="K183" t="inlineStr">
        <is>
          <t>PASS</t>
        </is>
      </c>
      <c r="L183" t="inlineStr">
        <is>
          <t>Captured body message_template_id = the ORDER id, asserted NOT equal to the INVOICE id. The dependency on QONTAK_NEW_ORDER_TEMPLATE_ID (never set anywhere) is removed.</t>
        </is>
      </c>
      <c r="M183" t="inlineStr">
        <is>
          <t>backend/test/unit/whatsapp-lifecycle.spec.ts (21 cases) — real consumer + registry + builder + Qontak provider; only Prisma and the HTTP transport stubbed</t>
        </is>
      </c>
      <c r="N183" t="inlineStr">
        <is>
          <t>2026-09-04</t>
        </is>
      </c>
    </row>
    <row r="184">
      <c r="A184" t="inlineStr">
        <is>
          <t>WA-008</t>
        </is>
      </c>
      <c r="B184" t="inlineStr">
        <is>
          <t>WhatsApp Lifecycle</t>
        </is>
      </c>
      <c r="C184" t="inlineStr">
        <is>
          <t>Notifications</t>
        </is>
      </c>
      <c r="D184" t="inlineStr">
        <is>
          <t>Admin recipient is QONTAK_ADMIN, never the customer</t>
        </is>
      </c>
      <c r="E184" t="inlineStr">
        <is>
          <t>Local only; stubbed Qontak transport; no database</t>
        </is>
      </c>
      <c r="F184" t="inlineStr">
        <is>
          <t>Drive the real consumer/registry/builder/provider and capture the Qontak body</t>
        </is>
      </c>
      <c r="G184" t="inlineStr">
        <is>
          <t>Correct template id, recipient, parameter order and CTA per the business contract</t>
        </is>
      </c>
      <c r="H184" t="inlineStr">
        <is>
          <t>P0</t>
        </is>
      </c>
      <c r="I184" t="inlineStr">
        <is>
          <t>Integration</t>
        </is>
      </c>
      <c r="J184" t="inlineStr">
        <is>
          <t>Automated</t>
        </is>
      </c>
      <c r="K184" t="inlineStr">
        <is>
          <t>PASS</t>
        </is>
      </c>
      <c r="L184" t="inlineStr">
        <is>
          <t>Row recipient = the configured admin number. Additionally the builder now resolves order.new from row.recipient ONLY: a test injecting customerPhone into the admin payload still yields the admin number.</t>
        </is>
      </c>
      <c r="M184" t="inlineStr">
        <is>
          <t>backend/test/unit/whatsapp-lifecycle.spec.ts (21 cases) — real consumer + registry + builder + Qontak provider; only Prisma and the HTTP transport stubbed</t>
        </is>
      </c>
      <c r="N184" t="inlineStr">
        <is>
          <t>2026-09-04</t>
        </is>
      </c>
      <c r="O184" t="inlineStr">
        <is>
          <t>QONTAK_ADMIN was previously DEAD CONFIG; the code read OPS_NOTIFICATION_WHATSAPP, which was unset, so the alert was silently skipped for every order.</t>
        </is>
      </c>
    </row>
    <row r="185">
      <c r="A185" t="inlineStr">
        <is>
          <t>WA-009</t>
        </is>
      </c>
      <c r="B185" t="inlineStr">
        <is>
          <t>WhatsApp Lifecycle</t>
        </is>
      </c>
      <c r="C185" t="inlineStr">
        <is>
          <t>Notifications</t>
        </is>
      </c>
      <c r="D185" t="inlineStr">
        <is>
          <t>Admin row carries exactly 6 parameters</t>
        </is>
      </c>
      <c r="E185" t="inlineStr">
        <is>
          <t>Local only; stubbed Qontak transport; no database</t>
        </is>
      </c>
      <c r="F185" t="inlineStr">
        <is>
          <t>Drive the real consumer/registry/builder/provider and capture the Qontak body</t>
        </is>
      </c>
      <c r="G185" t="inlineStr">
        <is>
          <t>Correct template id, recipient, parameter order and CTA per the business contract</t>
        </is>
      </c>
      <c r="H185" t="inlineStr">
        <is>
          <t>P0</t>
        </is>
      </c>
      <c r="I185" t="inlineStr">
        <is>
          <t>Integration</t>
        </is>
      </c>
      <c r="J185" t="inlineStr">
        <is>
          <t>Automated</t>
        </is>
      </c>
      <c r="K185" t="inlineStr">
        <is>
          <t>PASS</t>
        </is>
      </c>
      <c r="L185" t="inlineStr">
        <is>
          <t>keys 1..6 = order_no, customer_name, total, payment_method, payment_status, shipping_method. Method ("BANK_TRANSFER") and status ("PENDING") are now SEPARATE slots; they were previously one joined "METHOD - STATUS" string that no 6-slot template could render.</t>
        </is>
      </c>
      <c r="M185" t="inlineStr">
        <is>
          <t>backend/test/unit/whatsapp-lifecycle.spec.ts (21 cases) — real consumer + registry + builder + Qontak provider; only Prisma and the HTTP transport stubbed</t>
        </is>
      </c>
      <c r="N185" t="inlineStr">
        <is>
          <t>2026-09-04</t>
        </is>
      </c>
    </row>
    <row r="186">
      <c r="A186" t="inlineStr">
        <is>
          <t>WA-010</t>
        </is>
      </c>
      <c r="B186" t="inlineStr">
        <is>
          <t>WhatsApp Lifecycle</t>
        </is>
      </c>
      <c r="C186" t="inlineStr">
        <is>
          <t>Notifications</t>
        </is>
      </c>
      <c r="D186" t="inlineStr">
        <is>
          <t>Admin CTA is the identifier the admin route needs</t>
        </is>
      </c>
      <c r="E186" t="inlineStr">
        <is>
          <t>Local only; stubbed Qontak transport; no database</t>
        </is>
      </c>
      <c r="F186" t="inlineStr">
        <is>
          <t>Drive the real consumer/registry/builder/provider and capture the Qontak body</t>
        </is>
      </c>
      <c r="G186" t="inlineStr">
        <is>
          <t>Correct template id, recipient, parameter order and CTA per the business contract</t>
        </is>
      </c>
      <c r="H186" t="inlineStr">
        <is>
          <t>P0</t>
        </is>
      </c>
      <c r="I186" t="inlineStr">
        <is>
          <t>Integration</t>
        </is>
      </c>
      <c r="J186" t="inlineStr">
        <is>
          <t>Automated</t>
        </is>
      </c>
      <c r="K186" t="inlineStr">
        <is>
          <t>PASS</t>
        </is>
      </c>
      <c r="L186" t="inlineStr">
        <is>
          <t>Button value = Order.id, asserted to contain no "http" and not to be the orderNumber. admin/app/orders/[id] resolves Order.id via findUnique. Previously a FULL URL was passed, which against a template ending ".../orders/{{1}}" would have produced a doubled URL.</t>
        </is>
      </c>
      <c r="M186" t="inlineStr">
        <is>
          <t>backend/test/unit/whatsapp-lifecycle.spec.ts (21 cases) — real consumer + registry + builder + Qontak provider; only Prisma and the HTTP transport stubbed</t>
        </is>
      </c>
      <c r="N186" t="inlineStr">
        <is>
          <t>2026-09-04</t>
        </is>
      </c>
    </row>
    <row r="187">
      <c r="A187" t="inlineStr">
        <is>
          <t>WA-011</t>
        </is>
      </c>
      <c r="B187" t="inlineStr">
        <is>
          <t>WhatsApp Lifecycle</t>
        </is>
      </c>
      <c r="C187" t="inlineStr">
        <is>
          <t>Notifications</t>
        </is>
      </c>
      <c r="D187" t="inlineStr">
        <is>
          <t>Shipped notification exists for the customer</t>
        </is>
      </c>
      <c r="E187" t="inlineStr">
        <is>
          <t>Local only; stubbed Qontak transport; no database</t>
        </is>
      </c>
      <c r="F187" t="inlineStr">
        <is>
          <t>Drive the real consumer/registry/builder/provider and capture the Qontak body</t>
        </is>
      </c>
      <c r="G187" t="inlineStr">
        <is>
          <t>Correct template id, recipient, parameter order and CTA per the business contract</t>
        </is>
      </c>
      <c r="H187" t="inlineStr">
        <is>
          <t>P0</t>
        </is>
      </c>
      <c r="I187" t="inlineStr">
        <is>
          <t>Integration</t>
        </is>
      </c>
      <c r="J187" t="inlineStr">
        <is>
          <t>Automated</t>
        </is>
      </c>
      <c r="K187" t="inlineStr">
        <is>
          <t>PASS</t>
        </is>
      </c>
      <c r="L187" t="inlineStr">
        <is>
          <t>order.shipped builds and sends with recipient = customer phone.</t>
        </is>
      </c>
      <c r="M187" t="inlineStr">
        <is>
          <t>backend/test/unit/whatsapp-lifecycle.spec.ts (21 cases) — real consumer + registry + builder + Qontak provider; only Prisma and the HTTP transport stubbed</t>
        </is>
      </c>
      <c r="N187" t="inlineStr">
        <is>
          <t>2026-09-04</t>
        </is>
      </c>
      <c r="O187" t="inlineStr">
        <is>
          <t>Trigger unchanged: courier booking (createForOrder) flips the order to SHIPPED under a legal-transition CAS and enqueues there.</t>
        </is>
      </c>
    </row>
    <row r="188">
      <c r="A188" t="inlineStr">
        <is>
          <t>WA-012</t>
        </is>
      </c>
      <c r="B188" t="inlineStr">
        <is>
          <t>WhatsApp Lifecycle</t>
        </is>
      </c>
      <c r="C188" t="inlineStr">
        <is>
          <t>Notifications</t>
        </is>
      </c>
      <c r="D188" t="inlineStr">
        <is>
          <t>Shipped resolves QONTAK_SHIPPED_TEMPLATE_ID</t>
        </is>
      </c>
      <c r="E188" t="inlineStr">
        <is>
          <t>Local only; stubbed Qontak transport; no database</t>
        </is>
      </c>
      <c r="F188" t="inlineStr">
        <is>
          <t>Drive the real consumer/registry/builder/provider and capture the Qontak body</t>
        </is>
      </c>
      <c r="G188" t="inlineStr">
        <is>
          <t>Correct template id, recipient, parameter order and CTA per the business contract</t>
        </is>
      </c>
      <c r="H188" t="inlineStr">
        <is>
          <t>P0</t>
        </is>
      </c>
      <c r="I188" t="inlineStr">
        <is>
          <t>Integration</t>
        </is>
      </c>
      <c r="J188" t="inlineStr">
        <is>
          <t>Automated</t>
        </is>
      </c>
      <c r="K188" t="inlineStr">
        <is>
          <t>PASS</t>
        </is>
      </c>
      <c r="L188" t="inlineStr">
        <is>
          <t>Captured message_template_id = the SHIPPED id.</t>
        </is>
      </c>
      <c r="M188" t="inlineStr">
        <is>
          <t>backend/test/unit/whatsapp-lifecycle.spec.ts (21 cases) — real consumer + registry + builder + Qontak provider; only Prisma and the HTTP transport stubbed</t>
        </is>
      </c>
      <c r="N188" t="inlineStr">
        <is>
          <t>2026-09-04</t>
        </is>
      </c>
    </row>
    <row r="189">
      <c r="A189" t="inlineStr">
        <is>
          <t>WA-013</t>
        </is>
      </c>
      <c r="B189" t="inlineStr">
        <is>
          <t>WhatsApp Lifecycle</t>
        </is>
      </c>
      <c r="C189" t="inlineStr">
        <is>
          <t>Notifications</t>
        </is>
      </c>
      <c r="D189" t="inlineStr">
        <is>
          <t>Shipped carries exactly 4 parameters</t>
        </is>
      </c>
      <c r="E189" t="inlineStr">
        <is>
          <t>Local only; stubbed Qontak transport; no database</t>
        </is>
      </c>
      <c r="F189" t="inlineStr">
        <is>
          <t>Drive the real consumer/registry/builder/provider and capture the Qontak body</t>
        </is>
      </c>
      <c r="G189" t="inlineStr">
        <is>
          <t>Correct template id, recipient, parameter order and CTA per the business contract</t>
        </is>
      </c>
      <c r="H189" t="inlineStr">
        <is>
          <t>P0</t>
        </is>
      </c>
      <c r="I189" t="inlineStr">
        <is>
          <t>Integration</t>
        </is>
      </c>
      <c r="J189" t="inlineStr">
        <is>
          <t>Automated</t>
        </is>
      </c>
      <c r="K189" t="inlineStr">
        <is>
          <t>PASS</t>
        </is>
      </c>
      <c r="L189" t="inlineStr">
        <is>
          <t>keys 1..4 = customer_name, order_no, courier, tracking -&gt; "Budi", order number, "JNE", "JNE0001234567". No button. Previously 3 params (provider, service, tracking) with no customer name or order number.</t>
        </is>
      </c>
      <c r="M189" t="inlineStr">
        <is>
          <t>backend/test/unit/whatsapp-lifecycle.spec.ts (21 cases) — real consumer + registry + builder + Qontak provider; only Prisma and the HTTP transport stubbed</t>
        </is>
      </c>
      <c r="N189" t="inlineStr">
        <is>
          <t>2026-09-04</t>
        </is>
      </c>
    </row>
    <row r="190">
      <c r="A190" t="inlineStr">
        <is>
          <t>WA-014</t>
        </is>
      </c>
      <c r="B190" t="inlineStr">
        <is>
          <t>WhatsApp Lifecycle</t>
        </is>
      </c>
      <c r="C190" t="inlineStr">
        <is>
          <t>Notifications</t>
        </is>
      </c>
      <c r="D190" t="inlineStr">
        <is>
          <t>Delivered notification exists for the customer</t>
        </is>
      </c>
      <c r="E190" t="inlineStr">
        <is>
          <t>Local only; stubbed Qontak transport; no database</t>
        </is>
      </c>
      <c r="F190" t="inlineStr">
        <is>
          <t>Drive the real consumer/registry/builder/provider and capture the Qontak body</t>
        </is>
      </c>
      <c r="G190" t="inlineStr">
        <is>
          <t>Correct template id, recipient, parameter order and CTA per the business contract</t>
        </is>
      </c>
      <c r="H190" t="inlineStr">
        <is>
          <t>P0</t>
        </is>
      </c>
      <c r="I190" t="inlineStr">
        <is>
          <t>Integration</t>
        </is>
      </c>
      <c r="J190" t="inlineStr">
        <is>
          <t>Automated</t>
        </is>
      </c>
      <c r="K190" t="inlineStr">
        <is>
          <t>PASS</t>
        </is>
      </c>
      <c r="L190" t="inlineStr">
        <is>
          <t>order.delivered builds and sends with recipient = customer phone.</t>
        </is>
      </c>
      <c r="M190" t="inlineStr">
        <is>
          <t>backend/test/unit/whatsapp-lifecycle.spec.ts (21 cases) — real consumer + registry + builder + Qontak provider; only Prisma and the HTTP transport stubbed</t>
        </is>
      </c>
      <c r="N190" t="inlineStr">
        <is>
          <t>2026-09-04</t>
        </is>
      </c>
      <c r="O190" t="inlineStr">
        <is>
          <t>Trigger unchanged: courier tracking sync flips the order to DELIVERED under a CAS and enqueues there.</t>
        </is>
      </c>
    </row>
    <row r="191">
      <c r="A191" t="inlineStr">
        <is>
          <t>WA-015</t>
        </is>
      </c>
      <c r="B191" t="inlineStr">
        <is>
          <t>WhatsApp Lifecycle</t>
        </is>
      </c>
      <c r="C191" t="inlineStr">
        <is>
          <t>Notifications</t>
        </is>
      </c>
      <c r="D191" t="inlineStr">
        <is>
          <t>Delivered resolves QONTAK_DELIVERED_TEMPLATE_ID</t>
        </is>
      </c>
      <c r="E191" t="inlineStr">
        <is>
          <t>Local only; stubbed Qontak transport; no database</t>
        </is>
      </c>
      <c r="F191" t="inlineStr">
        <is>
          <t>Drive the real consumer/registry/builder/provider and capture the Qontak body</t>
        </is>
      </c>
      <c r="G191" t="inlineStr">
        <is>
          <t>Correct template id, recipient, parameter order and CTA per the business contract</t>
        </is>
      </c>
      <c r="H191" t="inlineStr">
        <is>
          <t>P0</t>
        </is>
      </c>
      <c r="I191" t="inlineStr">
        <is>
          <t>Integration</t>
        </is>
      </c>
      <c r="J191" t="inlineStr">
        <is>
          <t>Automated</t>
        </is>
      </c>
      <c r="K191" t="inlineStr">
        <is>
          <t>PASS</t>
        </is>
      </c>
      <c r="L191" t="inlineStr">
        <is>
          <t>Captured message_template_id = the DELIVERED id.</t>
        </is>
      </c>
      <c r="M191" t="inlineStr">
        <is>
          <t>backend/test/unit/whatsapp-lifecycle.spec.ts (21 cases) — real consumer + registry + builder + Qontak provider; only Prisma and the HTTP transport stubbed</t>
        </is>
      </c>
      <c r="N191" t="inlineStr">
        <is>
          <t>2026-09-04</t>
        </is>
      </c>
    </row>
    <row r="192">
      <c r="A192" t="inlineStr">
        <is>
          <t>WA-016</t>
        </is>
      </c>
      <c r="B192" t="inlineStr">
        <is>
          <t>WhatsApp Lifecycle</t>
        </is>
      </c>
      <c r="C192" t="inlineStr">
        <is>
          <t>Notifications</t>
        </is>
      </c>
      <c r="D192" t="inlineStr">
        <is>
          <t>Delivered carries exactly 2 parameters</t>
        </is>
      </c>
      <c r="E192" t="inlineStr">
        <is>
          <t>Local only; stubbed Qontak transport; no database</t>
        </is>
      </c>
      <c r="F192" t="inlineStr">
        <is>
          <t>Drive the real consumer/registry/builder/provider and capture the Qontak body</t>
        </is>
      </c>
      <c r="G192" t="inlineStr">
        <is>
          <t>Correct template id, recipient, parameter order and CTA per the business contract</t>
        </is>
      </c>
      <c r="H192" t="inlineStr">
        <is>
          <t>P0</t>
        </is>
      </c>
      <c r="I192" t="inlineStr">
        <is>
          <t>Integration</t>
        </is>
      </c>
      <c r="J192" t="inlineStr">
        <is>
          <t>Automated</t>
        </is>
      </c>
      <c r="K192" t="inlineStr">
        <is>
          <t>PASS</t>
        </is>
      </c>
      <c r="L192" t="inlineStr">
        <is>
          <t>keys 1..2 = customer_name, order_no. Asserted the tracking number does NOT leak into a template with no slot for it. Previously 3 params (provider, service, tracking).</t>
        </is>
      </c>
      <c r="M192" t="inlineStr">
        <is>
          <t>backend/test/unit/whatsapp-lifecycle.spec.ts (21 cases) — real consumer + registry + builder + Qontak provider; only Prisma and the HTTP transport stubbed</t>
        </is>
      </c>
      <c r="N192" t="inlineStr">
        <is>
          <t>2026-09-04</t>
        </is>
      </c>
    </row>
    <row r="193">
      <c r="A193" t="inlineStr">
        <is>
          <t>WA-017</t>
        </is>
      </c>
      <c r="B193" t="inlineStr">
        <is>
          <t>WhatsApp Lifecycle</t>
        </is>
      </c>
      <c r="C193" t="inlineStr">
        <is>
          <t>Notifications</t>
        </is>
      </c>
      <c r="D193" t="inlineStr">
        <is>
          <t>Duplicate shipped transition produces one notification</t>
        </is>
      </c>
      <c r="E193" t="inlineStr">
        <is>
          <t>Local only; stubbed Qontak transport; no database</t>
        </is>
      </c>
      <c r="F193" t="inlineStr">
        <is>
          <t>Drive the real consumer/registry/builder/provider and capture the Qontak body</t>
        </is>
      </c>
      <c r="G193" t="inlineStr">
        <is>
          <t>Correct template id, recipient, parameter order and CTA per the business contract</t>
        </is>
      </c>
      <c r="H193" t="inlineStr">
        <is>
          <t>P0</t>
        </is>
      </c>
      <c r="I193" t="inlineStr">
        <is>
          <t>Integration</t>
        </is>
      </c>
      <c r="J193" t="inlineStr">
        <is>
          <t>Automated</t>
        </is>
      </c>
      <c r="K193" t="inlineStr">
        <is>
          <t>NOT_RUN</t>
        </is>
      </c>
      <c r="L193" t="inlineStr">
        <is>
          <t>NOT EXECUTED — needs a disposable database and Docker Desktop is stopped on this machine. No shared-dev or production database was used as a substitute. Protection is unchanged and was traced in 61AG.3.27: enqueue happens only inside `if (flip.count === 1)` on the order.updateMany CAS, so a repeat call finds the order already SHIPPED, flips nothing and enqueues nothing.</t>
        </is>
      </c>
      <c r="M193" t="inlineStr">
        <is>
          <t>Source trace: shipment.service.ts (unchanged this phase)</t>
        </is>
      </c>
      <c r="N193" t="inlineStr">
        <is>
          <t>2026-09-04</t>
        </is>
      </c>
      <c r="O193" t="inlineStr">
        <is>
          <t>No code path touched by 61AG.3.28.</t>
        </is>
      </c>
    </row>
    <row r="194">
      <c r="A194" t="inlineStr">
        <is>
          <t>WA-018</t>
        </is>
      </c>
      <c r="B194" t="inlineStr">
        <is>
          <t>WhatsApp Lifecycle</t>
        </is>
      </c>
      <c r="C194" t="inlineStr">
        <is>
          <t>Notifications</t>
        </is>
      </c>
      <c r="D194" t="inlineStr">
        <is>
          <t>Duplicate delivered transition produces one notification</t>
        </is>
      </c>
      <c r="E194" t="inlineStr">
        <is>
          <t>Local only; stubbed Qontak transport; no database</t>
        </is>
      </c>
      <c r="F194" t="inlineStr">
        <is>
          <t>Drive the real consumer/registry/builder/provider and capture the Qontak body</t>
        </is>
      </c>
      <c r="G194" t="inlineStr">
        <is>
          <t>Correct template id, recipient, parameter order and CTA per the business contract</t>
        </is>
      </c>
      <c r="H194" t="inlineStr">
        <is>
          <t>P0</t>
        </is>
      </c>
      <c r="I194" t="inlineStr">
        <is>
          <t>Integration</t>
        </is>
      </c>
      <c r="J194" t="inlineStr">
        <is>
          <t>Automated</t>
        </is>
      </c>
      <c r="K194" t="inlineStr">
        <is>
          <t>NOT_RUN</t>
        </is>
      </c>
      <c r="L194" t="inlineStr">
        <is>
          <t>NOT EXECUTED — needs a disposable database and Docker Desktop is stopped on this machine. No shared-dev or production database was used as a substitute. Same CAS structure on the DELIVERED transition; unchanged this phase.</t>
        </is>
      </c>
      <c r="M194" t="inlineStr">
        <is>
          <t>Source trace: shipment.service.ts (unchanged this phase)</t>
        </is>
      </c>
      <c r="N194" t="inlineStr">
        <is>
          <t>2026-09-04</t>
        </is>
      </c>
    </row>
    <row r="195">
      <c r="A195" t="inlineStr">
        <is>
          <t>WA-019</t>
        </is>
      </c>
      <c r="B195" t="inlineStr">
        <is>
          <t>WhatsApp Lifecycle</t>
        </is>
      </c>
      <c r="C195" t="inlineStr">
        <is>
          <t>Notifications</t>
        </is>
      </c>
      <c r="D195" t="inlineStr">
        <is>
          <t>Rolled-back order produces no notification</t>
        </is>
      </c>
      <c r="E195" t="inlineStr">
        <is>
          <t>Local only; stubbed Qontak transport; no database</t>
        </is>
      </c>
      <c r="F195" t="inlineStr">
        <is>
          <t>Drive the real consumer/registry/builder/provider and capture the Qontak body</t>
        </is>
      </c>
      <c r="G195" t="inlineStr">
        <is>
          <t>Correct template id, recipient, parameter order and CTA per the business contract</t>
        </is>
      </c>
      <c r="H195" t="inlineStr">
        <is>
          <t>P0</t>
        </is>
      </c>
      <c r="I195" t="inlineStr">
        <is>
          <t>Integration</t>
        </is>
      </c>
      <c r="J195" t="inlineStr">
        <is>
          <t>Automated</t>
        </is>
      </c>
      <c r="K195" t="inlineStr">
        <is>
          <t>NOT_RUN</t>
        </is>
      </c>
      <c r="L195" t="inlineStr">
        <is>
          <t>NOT EXECUTED — needs a disposable database and Docker Desktop is stopped on this machine. No shared-dev or production database was used as a substitute. Structure unchanged: the OutboxEvent is written inside the checkout transaction, so a rollback discards the event with the order; the consumer can only ever see a committed one.</t>
        </is>
      </c>
      <c r="M195" t="inlineStr">
        <is>
          <t>Source trace: orders.service.ts persistOrderOnce (unchanged this phase)</t>
        </is>
      </c>
      <c r="N195" t="inlineStr">
        <is>
          <t>2026-09-04</t>
        </is>
      </c>
    </row>
    <row r="196">
      <c r="A196" t="inlineStr">
        <is>
          <t>WA-020</t>
        </is>
      </c>
      <c r="B196" t="inlineStr">
        <is>
          <t>WhatsApp Lifecycle</t>
        </is>
      </c>
      <c r="C196" t="inlineStr">
        <is>
          <t>Notifications</t>
        </is>
      </c>
      <c r="D196" t="inlineStr">
        <is>
          <t>GATEWAY no longer fails on a missing upload token</t>
        </is>
      </c>
      <c r="E196" t="inlineStr">
        <is>
          <t>Local only; stubbed Qontak transport; no database</t>
        </is>
      </c>
      <c r="F196" t="inlineStr">
        <is>
          <t>Drive the real consumer/registry/builder/provider and capture the Qontak body</t>
        </is>
      </c>
      <c r="G196" t="inlineStr">
        <is>
          <t>Correct template id, recipient, parameter order and CTA per the business contract</t>
        </is>
      </c>
      <c r="H196" t="inlineStr">
        <is>
          <t>P0</t>
        </is>
      </c>
      <c r="I196" t="inlineStr">
        <is>
          <t>Integration</t>
        </is>
      </c>
      <c r="J196" t="inlineStr">
        <is>
          <t>Automated</t>
        </is>
      </c>
      <c r="K196" t="inlineStr">
        <is>
          <t>PASS</t>
        </is>
      </c>
      <c r="L196" t="inlineStr">
        <is>
          <t>A GATEWAY order now produces the ADMIN row only — no order.transfer row, created.length = 1. Previously GATEWAY fell through to the bank-transfer invoice, which demands an upload token that checkout issues only for BANK_TRANSFER/QRIS, so every GATEWAY order died in the builder with "missing uploadToken" and was marked permanently FAILED (confirmed on a real dev row in 61AG.3.27).</t>
        </is>
      </c>
      <c r="M196" t="inlineStr">
        <is>
          <t>backend/test/unit/whatsapp-lifecycle.spec.ts (21 cases) — real consumer + registry + builder + Qontak provider; only Prisma and the HTTP transport stubbed</t>
        </is>
      </c>
      <c r="N196" t="inlineStr">
        <is>
          <t>2026-09-04</t>
        </is>
      </c>
      <c r="O196" t="inlineStr">
        <is>
          <t>GATEWAY has its own hosted payment page: checkout returns paymentInstruction and the customer is redirected to /payment/gateway/:paymentId. A bank-transfer instruction there would not merely be unsendable, it would be wrong. The skip is logged, not silent.</t>
        </is>
      </c>
    </row>
    <row r="197">
      <c r="A197" t="inlineStr">
        <is>
          <t>WA-021</t>
        </is>
      </c>
      <c r="B197" t="inlineStr">
        <is>
          <t>WhatsApp Lifecycle</t>
        </is>
      </c>
      <c r="C197" t="inlineStr">
        <is>
          <t>Notifications</t>
        </is>
      </c>
      <c r="D197" t="inlineStr">
        <is>
          <t>COD behaviour unchanged</t>
        </is>
      </c>
      <c r="E197" t="inlineStr">
        <is>
          <t>Local only; stubbed Qontak transport; no database</t>
        </is>
      </c>
      <c r="F197" t="inlineStr">
        <is>
          <t>Drive the real consumer/registry/builder/provider and capture the Qontak body</t>
        </is>
      </c>
      <c r="G197" t="inlineStr">
        <is>
          <t>Correct template id, recipient, parameter order and CTA per the business contract</t>
        </is>
      </c>
      <c r="H197" t="inlineStr">
        <is>
          <t>P0</t>
        </is>
      </c>
      <c r="I197" t="inlineStr">
        <is>
          <t>Integration</t>
        </is>
      </c>
      <c r="J197" t="inlineStr">
        <is>
          <t>Automated</t>
        </is>
      </c>
      <c r="K197" t="inlineStr">
        <is>
          <t>PASS</t>
        </is>
      </c>
      <c r="L197" t="inlineStr">
        <is>
          <t>A COD order still produces order.cod, resolving QONTAK_COD_TEMPLATE_ID with its 4 parameters.</t>
        </is>
      </c>
      <c r="M197" t="inlineStr">
        <is>
          <t>backend/test/unit/whatsapp-lifecycle.spec.ts (21 cases) — real consumer + registry + builder + Qontak provider; only Prisma and the HTTP transport stubbed</t>
        </is>
      </c>
      <c r="N197" t="inlineStr">
        <is>
          <t>2026-09-04</t>
        </is>
      </c>
    </row>
    <row r="198">
      <c r="A198" t="inlineStr">
        <is>
          <t>WA-022</t>
        </is>
      </c>
      <c r="B198" t="inlineStr">
        <is>
          <t>WhatsApp Lifecycle</t>
        </is>
      </c>
      <c r="C198" t="inlineStr">
        <is>
          <t>Notifications</t>
        </is>
      </c>
      <c r="D198" t="inlineStr">
        <is>
          <t>Qontak failure stays retryable</t>
        </is>
      </c>
      <c r="E198" t="inlineStr">
        <is>
          <t>Local only; stubbed Qontak transport; no database</t>
        </is>
      </c>
      <c r="F198" t="inlineStr">
        <is>
          <t>Drive the real consumer/registry/builder/provider and capture the Qontak body</t>
        </is>
      </c>
      <c r="G198" t="inlineStr">
        <is>
          <t>Correct template id, recipient, parameter order and CTA per the business contract</t>
        </is>
      </c>
      <c r="H198" t="inlineStr">
        <is>
          <t>P0</t>
        </is>
      </c>
      <c r="I198" t="inlineStr">
        <is>
          <t>Integration</t>
        </is>
      </c>
      <c r="J198" t="inlineStr">
        <is>
          <t>Automated</t>
        </is>
      </c>
      <c r="K198" t="inlineStr">
        <is>
          <t>PASS</t>
        </is>
      </c>
      <c r="L198" t="inlineStr">
        <is>
          <t>A stubbed 503 makes the provider raise TransientSendError, which the sender worker backs off and retries rather than marking terminally FAILED.</t>
        </is>
      </c>
      <c r="M198" t="inlineStr">
        <is>
          <t>backend/test/unit/whatsapp-lifecycle.spec.ts (21 cases) — real consumer + registry + builder + Qontak provider; only Prisma and the HTTP transport stubbed</t>
        </is>
      </c>
      <c r="N198" t="inlineStr">
        <is>
          <t>2026-09-04</t>
        </is>
      </c>
    </row>
    <row r="199">
      <c r="A199" t="inlineStr">
        <is>
          <t>WA-023</t>
        </is>
      </c>
      <c r="B199" t="inlineStr">
        <is>
          <t>WhatsApp Lifecycle</t>
        </is>
      </c>
      <c r="C199" t="inlineStr">
        <is>
          <t>Notifications</t>
        </is>
      </c>
      <c r="D199" t="inlineStr">
        <is>
          <t>Gate admits an explicitly allowlisted recipient</t>
        </is>
      </c>
      <c r="E199" t="inlineStr">
        <is>
          <t>Local only; stubbed Qontak transport; no database</t>
        </is>
      </c>
      <c r="F199" t="inlineStr">
        <is>
          <t>Drive the real consumer/registry/builder/provider and capture the Qontak body</t>
        </is>
      </c>
      <c r="G199" t="inlineStr">
        <is>
          <t>Correct template id, recipient, parameter order and CTA per the business contract</t>
        </is>
      </c>
      <c r="H199" t="inlineStr">
        <is>
          <t>P0</t>
        </is>
      </c>
      <c r="I199" t="inlineStr">
        <is>
          <t>Integration</t>
        </is>
      </c>
      <c r="J199" t="inlineStr">
        <is>
          <t>Automated</t>
        </is>
      </c>
      <c r="K199" t="inlineStr">
        <is>
          <t>PASS</t>
        </is>
      </c>
      <c r="L199" t="inlineStr">
        <is>
          <t>With NOTIFICATION_DELIVERY_ENABLED=true and the number listed in 08... form, the gate admits the message whose recipient the builder rendered as 628... — the allowlist is normalised through the same phone normaliser.</t>
        </is>
      </c>
      <c r="M199" t="inlineStr">
        <is>
          <t>backend/test/unit/whatsapp-lifecycle.spec.ts (21 cases) — real consumer + registry + builder + Qontak provider; only Prisma and the HTTP transport stubbed</t>
        </is>
      </c>
      <c r="N199" t="inlineStr">
        <is>
          <t>2026-09-04</t>
        </is>
      </c>
    </row>
    <row r="200">
      <c r="A200" t="inlineStr">
        <is>
          <t>WA-024</t>
        </is>
      </c>
      <c r="B200" t="inlineStr">
        <is>
          <t>WhatsApp Lifecycle</t>
        </is>
      </c>
      <c r="C200" t="inlineStr">
        <is>
          <t>Notifications</t>
        </is>
      </c>
      <c r="D200" t="inlineStr">
        <is>
          <t>Gate blocks a non-allowlisted or empty allowlist</t>
        </is>
      </c>
      <c r="E200" t="inlineStr">
        <is>
          <t>Local only; stubbed Qontak transport; no database</t>
        </is>
      </c>
      <c r="F200" t="inlineStr">
        <is>
          <t>Drive the real consumer/registry/builder/provider and capture the Qontak body</t>
        </is>
      </c>
      <c r="G200" t="inlineStr">
        <is>
          <t>Correct template id, recipient, parameter order and CTA per the business contract</t>
        </is>
      </c>
      <c r="H200" t="inlineStr">
        <is>
          <t>P0</t>
        </is>
      </c>
      <c r="I200" t="inlineStr">
        <is>
          <t>Integration</t>
        </is>
      </c>
      <c r="J200" t="inlineStr">
        <is>
          <t>Automated</t>
        </is>
      </c>
      <c r="K200" t="inlineStr">
        <is>
          <t>PASS</t>
        </is>
      </c>
      <c r="L200" t="inlineStr">
        <is>
          <t>A recipient outside the list raises NotificationBlockedError; an unset allowlist raises "NOTIFICATION_ALLOWED_RECIPIENTS is empty". No wildcard exists. THIS is the P0 that stopped every WhatsApp: the allowlist was unset, so every row failed terminally at the gate.</t>
        </is>
      </c>
      <c r="M200" t="inlineStr">
        <is>
          <t>backend/test/unit/whatsapp-lifecycle.spec.ts (21 cases) — real consumer + registry + builder + Qontak provider; only Prisma and the HTTP transport stubbed</t>
        </is>
      </c>
      <c r="N200" t="inlineStr">
        <is>
          <t>2026-09-04</t>
        </is>
      </c>
      <c r="O200" t="inlineStr">
        <is>
          <t>Local .env (gitignored) now sets the allowlist, seeded from QONTAK_ADMIN. Add customer test numbers there as needed.</t>
        </is>
      </c>
    </row>
    <row r="201">
      <c r="A201" t="inlineStr">
        <is>
          <t>WA-E2E-001</t>
        </is>
      </c>
      <c r="B201" t="inlineStr">
        <is>
          <t>WA Lifecycle E2E</t>
        </is>
      </c>
      <c r="C201" t="inlineStr">
        <is>
          <t>Notifications</t>
        </is>
      </c>
      <c r="D201" t="inlineStr">
        <is>
          <t>TRANSFER order created -&gt; customer invoice (real DB)</t>
        </is>
      </c>
      <c r="E201" t="inlineStr">
        <is>
          <t>Disposable MySQL 8.4; stubbed Qontak transport and courier provider</t>
        </is>
      </c>
      <c r="F201" t="inlineStr">
        <is>
          <t>Drive the real domain services and capture the outgoing Qontak payload</t>
        </is>
      </c>
      <c r="G201" t="inlineStr">
        <is>
          <t>Template id, recipient, parameter order and CTA match the business contract</t>
        </is>
      </c>
      <c r="H201" t="inlineStr">
        <is>
          <t>P0</t>
        </is>
      </c>
      <c r="I201" t="inlineStr">
        <is>
          <t>Integration</t>
        </is>
      </c>
      <c r="J201" t="inlineStr">
        <is>
          <t>Automated</t>
        </is>
      </c>
      <c r="K201" t="inlineStr">
        <is>
          <t>PASS</t>
        </is>
      </c>
      <c r="L201" t="inlineStr">
        <is>
          <t>Real consumer wrote the row; recipient = customer phone; captured Qontak body: template = INVOICE id, 6 params in order (customer_name, order_no, price, bank_name, account_name, account_number) = Budi / order number / "Rp 154.378" / BCA / Bakso Mas Sular / account number, the last three read from the ACTIVE PaymentAccount ROW IN MYSQL. Button = the raw 64-hex upload token, asserted not to equal Order.id.</t>
        </is>
      </c>
      <c r="M201" t="inlineStr">
        <is>
          <t>backend/test/integration/whatsapp-lifecycle.int-spec.ts on disposable MySQL 8.4 (Testcontainers); real consumer + ShipmentService + outbox + builder + Qontak provider; only the HTTP transport and courier provider stubbed</t>
        </is>
      </c>
      <c r="N201" t="inlineStr">
        <is>
          <t>2026-09-04</t>
        </is>
      </c>
    </row>
    <row r="202">
      <c r="A202" t="inlineStr">
        <is>
          <t>WA-E2E-002</t>
        </is>
      </c>
      <c r="B202" t="inlineStr">
        <is>
          <t>WA Lifecycle E2E</t>
        </is>
      </c>
      <c r="C202" t="inlineStr">
        <is>
          <t>Notifications</t>
        </is>
      </c>
      <c r="D202" t="inlineStr">
        <is>
          <t>TRANSFER order created -&gt; admin alert (real DB)</t>
        </is>
      </c>
      <c r="E202" t="inlineStr">
        <is>
          <t>Disposable MySQL 8.4; stubbed Qontak transport and courier provider</t>
        </is>
      </c>
      <c r="F202" t="inlineStr">
        <is>
          <t>Drive the real domain services and capture the outgoing Qontak payload</t>
        </is>
      </c>
      <c r="G202" t="inlineStr">
        <is>
          <t>Template id, recipient, parameter order and CTA match the business contract</t>
        </is>
      </c>
      <c r="H202" t="inlineStr">
        <is>
          <t>P0</t>
        </is>
      </c>
      <c r="I202" t="inlineStr">
        <is>
          <t>Integration</t>
        </is>
      </c>
      <c r="J202" t="inlineStr">
        <is>
          <t>Automated</t>
        </is>
      </c>
      <c r="K202" t="inlineStr">
        <is>
          <t>PASS</t>
        </is>
      </c>
      <c r="L202" t="inlineStr">
        <is>
          <t>Second row in the same transaction; recipient = QONTAK_ADMIN and asserted != customer phone. Captured body: template = ORDER id, 6 params (order_no, customer_name, total, payment_method, payment_status, shipping_method) with method "BANK_TRANSFER" and status "PENDING" in SEPARATE slots. Button = Order.id, asserted != orderNumber.</t>
        </is>
      </c>
      <c r="M202" t="inlineStr">
        <is>
          <t>backend/test/integration/whatsapp-lifecycle.int-spec.ts on disposable MySQL 8.4 (Testcontainers); real consumer + ShipmentService + outbox + builder + Qontak provider; only the HTTP transport and courier provider stubbed</t>
        </is>
      </c>
      <c r="N202" t="inlineStr">
        <is>
          <t>2026-09-04</t>
        </is>
      </c>
    </row>
    <row r="203">
      <c r="A203" t="inlineStr">
        <is>
          <t>WA-E2E-003</t>
        </is>
      </c>
      <c r="B203" t="inlineStr">
        <is>
          <t>WA Lifecycle E2E</t>
        </is>
      </c>
      <c r="C203" t="inlineStr">
        <is>
          <t>Notifications</t>
        </is>
      </c>
      <c r="D203" t="inlineStr">
        <is>
          <t>PAXEL shipped -&gt; courier is exactly "PAXEL"</t>
        </is>
      </c>
      <c r="E203" t="inlineStr">
        <is>
          <t>Disposable MySQL 8.4; stubbed Qontak transport and courier provider</t>
        </is>
      </c>
      <c r="F203" t="inlineStr">
        <is>
          <t>Drive the real domain services and capture the outgoing Qontak payload</t>
        </is>
      </c>
      <c r="G203" t="inlineStr">
        <is>
          <t>Template id, recipient, parameter order and CTA match the business contract</t>
        </is>
      </c>
      <c r="H203" t="inlineStr">
        <is>
          <t>P0</t>
        </is>
      </c>
      <c r="I203" t="inlineStr">
        <is>
          <t>Integration</t>
        </is>
      </c>
      <c r="J203" t="inlineStr">
        <is>
          <t>Automated</t>
        </is>
      </c>
      <c r="K203" t="inlineStr">
        <is>
          <t>PASS</t>
        </is>
      </c>
      <c r="L203" t="inlineStr">
        <is>
          <t>Drove the real ShipmentService.createForOrder with a stubbed Paxel provider. Captured body: template = SHIPPED id, exactly 4 params (customer_name, order_no, courier, tracking) = Budi / order number / "PAXEL" / PXL123456789. Explicitly asserted the rendered payload contains NEITHER the service code ("_EXPRESS") NOR its display label, and carries no button.</t>
        </is>
      </c>
      <c r="M203" t="inlineStr">
        <is>
          <t>backend/test/integration/whatsapp-lifecycle.int-spec.ts on disposable MySQL 8.4 (Testcontainers); real consumer + ShipmentService + outbox + builder + Qontak provider; only the HTTP transport and courier provider stubbed</t>
        </is>
      </c>
      <c r="N203" t="inlineStr">
        <is>
          <t>2026-09-04</t>
        </is>
      </c>
      <c r="O203" t="inlineStr">
        <is>
          <t>Providers register lower-case ids; the new `courier` variable renders the canonical upper-case carrier alone.</t>
        </is>
      </c>
    </row>
    <row r="204">
      <c r="A204" t="inlineStr">
        <is>
          <t>WA-E2E-004</t>
        </is>
      </c>
      <c r="B204" t="inlineStr">
        <is>
          <t>WA Lifecycle E2E</t>
        </is>
      </c>
      <c r="C204" t="inlineStr">
        <is>
          <t>Notifications</t>
        </is>
      </c>
      <c r="D204" t="inlineStr">
        <is>
          <t>JNE shipped -&gt; courier is exactly "JNE"</t>
        </is>
      </c>
      <c r="E204" t="inlineStr">
        <is>
          <t>Disposable MySQL 8.4; stubbed Qontak transport and courier provider</t>
        </is>
      </c>
      <c r="F204" t="inlineStr">
        <is>
          <t>Drive the real domain services and capture the outgoing Qontak payload</t>
        </is>
      </c>
      <c r="G204" t="inlineStr">
        <is>
          <t>Template id, recipient, parameter order and CTA match the business contract</t>
        </is>
      </c>
      <c r="H204" t="inlineStr">
        <is>
          <t>P0</t>
        </is>
      </c>
      <c r="I204" t="inlineStr">
        <is>
          <t>Integration</t>
        </is>
      </c>
      <c r="J204" t="inlineStr">
        <is>
          <t>Automated</t>
        </is>
      </c>
      <c r="K204" t="inlineStr">
        <is>
          <t>PASS</t>
        </is>
      </c>
      <c r="L204" t="inlineStr">
        <is>
          <t>Same path with a stubbed JNE provider: 4 params, courier = "JNE", tracking = JNE0001234567, no service code or label anywhere.</t>
        </is>
      </c>
      <c r="M204" t="inlineStr">
        <is>
          <t>backend/test/integration/whatsapp-lifecycle.int-spec.ts on disposable MySQL 8.4 (Testcontainers); real consumer + ShipmentService + outbox + builder + Qontak provider; only the HTTP transport and courier provider stubbed</t>
        </is>
      </c>
      <c r="N204" t="inlineStr">
        <is>
          <t>2026-09-04</t>
        </is>
      </c>
    </row>
    <row r="205">
      <c r="A205" t="inlineStr">
        <is>
          <t>WA-E2E-005</t>
        </is>
      </c>
      <c r="B205" t="inlineStr">
        <is>
          <t>WA Lifecycle E2E</t>
        </is>
      </c>
      <c r="C205" t="inlineStr">
        <is>
          <t>Notifications</t>
        </is>
      </c>
      <c r="D205" t="inlineStr">
        <is>
          <t>Delivered -&gt; exactly 2 parameters</t>
        </is>
      </c>
      <c r="E205" t="inlineStr">
        <is>
          <t>Disposable MySQL 8.4; stubbed Qontak transport and courier provider</t>
        </is>
      </c>
      <c r="F205" t="inlineStr">
        <is>
          <t>Drive the real domain services and capture the outgoing Qontak payload</t>
        </is>
      </c>
      <c r="G205" t="inlineStr">
        <is>
          <t>Template id, recipient, parameter order and CTA match the business contract</t>
        </is>
      </c>
      <c r="H205" t="inlineStr">
        <is>
          <t>P0</t>
        </is>
      </c>
      <c r="I205" t="inlineStr">
        <is>
          <t>Integration</t>
        </is>
      </c>
      <c r="J205" t="inlineStr">
        <is>
          <t>Automated</t>
        </is>
      </c>
      <c r="K205" t="inlineStr">
        <is>
          <t>PASS</t>
        </is>
      </c>
      <c r="L205" t="inlineStr">
        <is>
          <t>Drove the real ShipmentService.pollAndUpdate with the stub returning DELIVERED. Captured body: template = DELIVERED id, exactly 2 params (customer_name, order_no); asserted the tracking number does NOT appear anywhere in the payload.</t>
        </is>
      </c>
      <c r="M205" t="inlineStr">
        <is>
          <t>backend/test/integration/whatsapp-lifecycle.int-spec.ts on disposable MySQL 8.4 (Testcontainers); real consumer + ShipmentService + outbox + builder + Qontak provider; only the HTTP transport and courier provider stubbed</t>
        </is>
      </c>
      <c r="N205" t="inlineStr">
        <is>
          <t>2026-09-04</t>
        </is>
      </c>
    </row>
    <row r="206">
      <c r="A206" t="inlineStr">
        <is>
          <t>WA-E2E-006</t>
        </is>
      </c>
      <c r="B206" t="inlineStr">
        <is>
          <t>WA Lifecycle E2E</t>
        </is>
      </c>
      <c r="C206" t="inlineStr">
        <is>
          <t>Notifications</t>
        </is>
      </c>
      <c r="D206" t="inlineStr">
        <is>
          <t>Replayed order.created enqueues nothing further</t>
        </is>
      </c>
      <c r="E206" t="inlineStr">
        <is>
          <t>Disposable MySQL 8.4; stubbed Qontak transport and courier provider</t>
        </is>
      </c>
      <c r="F206" t="inlineStr">
        <is>
          <t>Drive the real domain services and capture the outgoing Qontak payload</t>
        </is>
      </c>
      <c r="G206" t="inlineStr">
        <is>
          <t>Template id, recipient, parameter order and CTA match the business contract</t>
        </is>
      </c>
      <c r="H206" t="inlineStr">
        <is>
          <t>P0</t>
        </is>
      </c>
      <c r="I206" t="inlineStr">
        <is>
          <t>Integration</t>
        </is>
      </c>
      <c r="J206" t="inlineStr">
        <is>
          <t>Automated</t>
        </is>
      </c>
      <c r="K206" t="inlineStr">
        <is>
          <t>PASS</t>
        </is>
      </c>
      <c r="L206" t="inlineStr">
        <is>
          <t>First process() returned "enqueued", the replay returned "duplicate"; the database still holds exactly ONE order.transfer row and ONE order.new row. Dedup is the ProcessedEvent (consumer, messageId) insert in the same transaction.</t>
        </is>
      </c>
      <c r="M206" t="inlineStr">
        <is>
          <t>backend/test/integration/whatsapp-lifecycle.int-spec.ts on disposable MySQL 8.4 (Testcontainers); real consumer + ShipmentService + outbox + builder + Qontak provider; only the HTTP transport and courier provider stubbed</t>
        </is>
      </c>
      <c r="N206" t="inlineStr">
        <is>
          <t>2026-09-04</t>
        </is>
      </c>
    </row>
    <row r="207">
      <c r="A207" t="inlineStr">
        <is>
          <t>WA-E2E-007</t>
        </is>
      </c>
      <c r="B207" t="inlineStr">
        <is>
          <t>WA Lifecycle E2E</t>
        </is>
      </c>
      <c r="C207" t="inlineStr">
        <is>
          <t>Notifications</t>
        </is>
      </c>
      <c r="D207" t="inlineStr">
        <is>
          <t>Repeated shipped transition does not duplicate</t>
        </is>
      </c>
      <c r="E207" t="inlineStr">
        <is>
          <t>Disposable MySQL 8.4; stubbed Qontak transport and courier provider</t>
        </is>
      </c>
      <c r="F207" t="inlineStr">
        <is>
          <t>Drive the real domain services and capture the outgoing Qontak payload</t>
        </is>
      </c>
      <c r="G207" t="inlineStr">
        <is>
          <t>Template id, recipient, parameter order and CTA match the business contract</t>
        </is>
      </c>
      <c r="H207" t="inlineStr">
        <is>
          <t>P0</t>
        </is>
      </c>
      <c r="I207" t="inlineStr">
        <is>
          <t>Integration</t>
        </is>
      </c>
      <c r="J207" t="inlineStr">
        <is>
          <t>Automated</t>
        </is>
      </c>
      <c r="K207" t="inlineStr">
        <is>
          <t>PASS</t>
        </is>
      </c>
      <c r="L207" t="inlineStr">
        <is>
          <t>createForOrder followed by createForOrderSafe on the same order leaves exactly one order.shipped row — the second attempt finds the order already SHIPPED, the legal-transition CAS flips nothing and nothing is enqueued.</t>
        </is>
      </c>
      <c r="M207" t="inlineStr">
        <is>
          <t>backend/test/integration/whatsapp-lifecycle.int-spec.ts on disposable MySQL 8.4 (Testcontainers); real consumer + ShipmentService + outbox + builder + Qontak provider; only the HTTP transport and courier provider stubbed</t>
        </is>
      </c>
      <c r="N207" t="inlineStr">
        <is>
          <t>2026-09-04</t>
        </is>
      </c>
    </row>
    <row r="208">
      <c r="A208" t="inlineStr">
        <is>
          <t>WA-E2E-008</t>
        </is>
      </c>
      <c r="B208" t="inlineStr">
        <is>
          <t>WA Lifecycle E2E</t>
        </is>
      </c>
      <c r="C208" t="inlineStr">
        <is>
          <t>Notifications</t>
        </is>
      </c>
      <c r="D208" t="inlineStr">
        <is>
          <t>Repeated delivered sync does not duplicate</t>
        </is>
      </c>
      <c r="E208" t="inlineStr">
        <is>
          <t>Disposable MySQL 8.4; stubbed Qontak transport and courier provider</t>
        </is>
      </c>
      <c r="F208" t="inlineStr">
        <is>
          <t>Drive the real domain services and capture the outgoing Qontak payload</t>
        </is>
      </c>
      <c r="G208" t="inlineStr">
        <is>
          <t>Template id, recipient, parameter order and CTA match the business contract</t>
        </is>
      </c>
      <c r="H208" t="inlineStr">
        <is>
          <t>P0</t>
        </is>
      </c>
      <c r="I208" t="inlineStr">
        <is>
          <t>Integration</t>
        </is>
      </c>
      <c r="J208" t="inlineStr">
        <is>
          <t>Automated</t>
        </is>
      </c>
      <c r="K208" t="inlineStr">
        <is>
          <t>PASS</t>
        </is>
      </c>
      <c r="L208" t="inlineStr">
        <is>
          <t>pollAndUpdate run twice leaves exactly one order.delivered row (same CAS protection).</t>
        </is>
      </c>
      <c r="M208" t="inlineStr">
        <is>
          <t>backend/test/integration/whatsapp-lifecycle.int-spec.ts on disposable MySQL 8.4 (Testcontainers); real consumer + ShipmentService + outbox + builder + Qontak provider; only the HTTP transport and courier provider stubbed</t>
        </is>
      </c>
      <c r="N208" t="inlineStr">
        <is>
          <t>2026-09-04</t>
        </is>
      </c>
    </row>
    <row r="209">
      <c r="A209" t="inlineStr">
        <is>
          <t>WA-E2E-009</t>
        </is>
      </c>
      <c r="B209" t="inlineStr">
        <is>
          <t>WA Lifecycle E2E</t>
        </is>
      </c>
      <c r="C209" t="inlineStr">
        <is>
          <t>Notifications</t>
        </is>
      </c>
      <c r="D209" t="inlineStr">
        <is>
          <t>Rollback leaves no orphan notification</t>
        </is>
      </c>
      <c r="E209" t="inlineStr">
        <is>
          <t>Disposable MySQL 8.4; stubbed Qontak transport and courier provider</t>
        </is>
      </c>
      <c r="F209" t="inlineStr">
        <is>
          <t>Drive the real domain services and capture the outgoing Qontak payload</t>
        </is>
      </c>
      <c r="G209" t="inlineStr">
        <is>
          <t>Template id, recipient, parameter order and CTA match the business contract</t>
        </is>
      </c>
      <c r="H209" t="inlineStr">
        <is>
          <t>P0</t>
        </is>
      </c>
      <c r="I209" t="inlineStr">
        <is>
          <t>Integration</t>
        </is>
      </c>
      <c r="J209" t="inlineStr">
        <is>
          <t>Automated</t>
        </is>
      </c>
      <c r="K209" t="inlineStr">
        <is>
          <t>PASS</t>
        </is>
      </c>
      <c r="L209" t="inlineStr">
        <is>
          <t>Forced a throw AFTER the outbox rows were written but still inside the transaction: zero notification rows survive for that order and no ProcessedEvent exists. The event is then still processable — the failed attempt did not consume the idempotency slot — and a subsequent run enqueues exactly one customer row.</t>
        </is>
      </c>
      <c r="M209" t="inlineStr">
        <is>
          <t>backend/test/integration/whatsapp-lifecycle.int-spec.ts on disposable MySQL 8.4 (Testcontainers); real consumer + ShipmentService + outbox + builder + Qontak provider; only the HTTP transport and courier provider stubbed</t>
        </is>
      </c>
      <c r="N209" t="inlineStr">
        <is>
          <t>2026-09-04</t>
        </is>
      </c>
    </row>
    <row r="210">
      <c r="A210" t="inlineStr">
        <is>
          <t>WA-E2E-010</t>
        </is>
      </c>
      <c r="B210" t="inlineStr">
        <is>
          <t>WA Lifecycle E2E</t>
        </is>
      </c>
      <c r="C210" t="inlineStr">
        <is>
          <t>Notifications</t>
        </is>
      </c>
      <c r="D210" t="inlineStr">
        <is>
          <t>Delivery gate admits allowlisted, blocks everything else</t>
        </is>
      </c>
      <c r="E210" t="inlineStr">
        <is>
          <t>Disposable MySQL 8.4; stubbed Qontak transport and courier provider</t>
        </is>
      </c>
      <c r="F210" t="inlineStr">
        <is>
          <t>Drive the real domain services and capture the outgoing Qontak payload</t>
        </is>
      </c>
      <c r="G210" t="inlineStr">
        <is>
          <t>Template id, recipient, parameter order and CTA match the business contract</t>
        </is>
      </c>
      <c r="H210" t="inlineStr">
        <is>
          <t>P0</t>
        </is>
      </c>
      <c r="I210" t="inlineStr">
        <is>
          <t>Integration</t>
        </is>
      </c>
      <c r="J210" t="inlineStr">
        <is>
          <t>Automated</t>
        </is>
      </c>
      <c r="K210" t="inlineStr">
        <is>
          <t>PASS</t>
        </is>
      </c>
      <c r="L210" t="inlineStr">
        <is>
          <t>Allowlist written in 08... form admits the 628... recipient (normalised through the same phone normaliser) and blocks a non-listed number. With the switch on but an EMPTY allowlist the gate still fails closed. The gate was not weakened.</t>
        </is>
      </c>
      <c r="M210" t="inlineStr">
        <is>
          <t>backend/test/integration/whatsapp-lifecycle.int-spec.ts on disposable MySQL 8.4 (Testcontainers); real consumer + ShipmentService + outbox + builder + Qontak provider; only the HTTP transport and courier provider stubbed</t>
        </is>
      </c>
      <c r="N210" t="inlineStr">
        <is>
          <t>2026-09-04</t>
        </is>
      </c>
    </row>
    <row r="211">
      <c r="A211" t="inlineStr">
        <is>
          <t>WA-E2E-011</t>
        </is>
      </c>
      <c r="B211" t="inlineStr">
        <is>
          <t>WA Lifecycle E2E</t>
        </is>
      </c>
      <c r="C211" t="inlineStr">
        <is>
          <t>Notifications</t>
        </is>
      </c>
      <c r="D211" t="inlineStr">
        <is>
          <t>GATEWAY regression holds</t>
        </is>
      </c>
      <c r="E211" t="inlineStr">
        <is>
          <t>Disposable MySQL 8.4; stubbed Qontak transport and courier provider</t>
        </is>
      </c>
      <c r="F211" t="inlineStr">
        <is>
          <t>Drive the real domain services and capture the outgoing Qontak payload</t>
        </is>
      </c>
      <c r="G211" t="inlineStr">
        <is>
          <t>Template id, recipient, parameter order and CTA match the business contract</t>
        </is>
      </c>
      <c r="H211" t="inlineStr">
        <is>
          <t>P0</t>
        </is>
      </c>
      <c r="I211" t="inlineStr">
        <is>
          <t>Integration</t>
        </is>
      </c>
      <c r="J211" t="inlineStr">
        <is>
          <t>Automated</t>
        </is>
      </c>
      <c r="K211" t="inlineStr">
        <is>
          <t>PASS</t>
        </is>
      </c>
      <c r="L211" t="inlineStr">
        <is>
          <t>A GATEWAY order with no uploadUrl returns "enqueued", creates ZERO order.transfer rows and exactly one admin row, and that admin row builds and sends successfully with payment_method = "GATEWAY". No crash from the absent upload token.</t>
        </is>
      </c>
      <c r="M211" t="inlineStr">
        <is>
          <t>backend/test/integration/whatsapp-lifecycle.int-spec.ts on disposable MySQL 8.4 (Testcontainers); real consumer + ShipmentService + outbox + builder + Qontak provider; only the HTTP transport and courier provider stubbed</t>
        </is>
      </c>
      <c r="N211" t="inlineStr">
        <is>
          <t>2026-09-04</t>
        </is>
      </c>
    </row>
    <row r="212">
      <c r="A212" t="inlineStr">
        <is>
          <t>WA-E2E-012</t>
        </is>
      </c>
      <c r="B212" t="inlineStr">
        <is>
          <t>WA Lifecycle E2E</t>
        </is>
      </c>
      <c r="C212" t="inlineStr">
        <is>
          <t>Notifications</t>
        </is>
      </c>
      <c r="D212" t="inlineStr">
        <is>
          <t>Operator row correlation id fits VarChar(36)</t>
        </is>
      </c>
      <c r="E212" t="inlineStr">
        <is>
          <t>Disposable MySQL 8.4; stubbed Qontak transport and courier provider</t>
        </is>
      </c>
      <c r="F212" t="inlineStr">
        <is>
          <t>Drive the real domain services and capture the outgoing Qontak payload</t>
        </is>
      </c>
      <c r="G212" t="inlineStr">
        <is>
          <t>Template id, recipient, parameter order and CTA match the business contract</t>
        </is>
      </c>
      <c r="H212" t="inlineStr">
        <is>
          <t>P0</t>
        </is>
      </c>
      <c r="I212" t="inlineStr">
        <is>
          <t>Integration</t>
        </is>
      </c>
      <c r="J212" t="inlineStr">
        <is>
          <t>Automated</t>
        </is>
      </c>
      <c r="K212" t="inlineStr">
        <is>
          <t>PASS</t>
        </is>
      </c>
      <c r="L212" t="inlineStr">
        <is>
          <t>P0 FOUND AND FIXED BY THIS PHASE. The relay passes messageId = OutboxEvent.id, a 36-char uuid, and the consumer wrote `${messageId}:ops` (40 chars) into NotificationOutbox.sourceMessageId, which is VarChar(36). MySQL rejected the insert and the WHOLE transaction rolled back, so NEITHER the customer invoice NOR the admin alert was created. It had never fired because the operator number was unset and the branch was dead; wiring QONTAK_ADMIN in 61AG.3.28 activated it. Now truncated to fit, still distinct from the customer key. Safe: the column has no unique constraint and is not the dedup key (ProcessedEvent is).</t>
        </is>
      </c>
      <c r="M212" t="inlineStr">
        <is>
          <t>backend/test/integration/whatsapp-lifecycle.int-spec.ts on disposable MySQL 8.4 (Testcontainers); real consumer + ShipmentService + outbox + builder + Qontak provider; only the HTTP transport and courier provider stubbed; backend/test/unit/whatsapp-lifecycle.spec.ts column-limit guard</t>
        </is>
      </c>
      <c r="N212" t="inlineStr">
        <is>
          <t>2026-09-04</t>
        </is>
      </c>
      <c r="O212" t="inlineStr">
        <is>
          <t>Caught only because this phase drove the real MySQL column types rather than a mocked Prisma.</t>
        </is>
      </c>
    </row>
    <row r="213">
      <c r="A213" t="inlineStr">
        <is>
          <t>BOOK-001</t>
        </is>
      </c>
      <c r="B213" t="inlineStr">
        <is>
          <t>Courier Auto-Booking</t>
        </is>
      </c>
      <c r="C213" t="inlineStr">
        <is>
          <t>Shipment</t>
        </is>
      </c>
      <c r="D213" t="inlineStr">
        <is>
          <t>JNE automatic booking after BANK_TRANSFER settlement</t>
        </is>
      </c>
      <c r="E213" t="inlineStr">
        <is>
          <t>Disposable MySQL 8.4; stubbed courier</t>
        </is>
      </c>
      <c r="F213" t="inlineStr">
        <is>
          <t>Drive real settlement and assert the booking chain</t>
        </is>
      </c>
      <c r="G213" t="inlineStr">
        <is>
          <t>Automatic booking after payment settles</t>
        </is>
      </c>
      <c r="H213" t="inlineStr">
        <is>
          <t>P0</t>
        </is>
      </c>
      <c r="I213" t="inlineStr">
        <is>
          <t>Integration</t>
        </is>
      </c>
      <c r="J213" t="inlineStr">
        <is>
          <t>Automated</t>
        </is>
      </c>
      <c r="K213" t="inlineStr">
        <is>
          <t>PASS</t>
        </is>
      </c>
      <c r="L213" t="inlineStr">
        <is>
          <t>Real settle() with kind=ADMIN: payment PAID, courier stub called exactly once, cnote persisted to BOTH trackingNumber and providerShipmentId, shipment left RATE_SELECTED behind, order reached SHIPPED via the legal-transition CAS, and exactly one order.shipped notification addressed to the customer with courier JNE and the AWB.</t>
        </is>
      </c>
      <c r="M213" t="inlineStr">
        <is>
          <t>backend/test/integration/courier-auto-booking.int-spec.ts on disposable MySQL 8.4; real PaymentSettlementService.settle() + real ShipmentService; courier stubbed</t>
        </is>
      </c>
      <c r="N213" t="inlineStr">
        <is>
          <t>2026-09-05</t>
        </is>
      </c>
    </row>
    <row r="214">
      <c r="A214" t="inlineStr">
        <is>
          <t>BOOK-002</t>
        </is>
      </c>
      <c r="B214" t="inlineStr">
        <is>
          <t>Courier Auto-Booking</t>
        </is>
      </c>
      <c r="C214" t="inlineStr">
        <is>
          <t>Shipment</t>
        </is>
      </c>
      <c r="D214" t="inlineStr">
        <is>
          <t>JNE automatic booking after QRIS settlement</t>
        </is>
      </c>
      <c r="E214" t="inlineStr">
        <is>
          <t>Disposable MySQL 8.4; stubbed courier</t>
        </is>
      </c>
      <c r="F214" t="inlineStr">
        <is>
          <t>Drive real settlement and assert the booking chain</t>
        </is>
      </c>
      <c r="G214" t="inlineStr">
        <is>
          <t>Automatic booking after payment settles</t>
        </is>
      </c>
      <c r="H214" t="inlineStr">
        <is>
          <t>P0</t>
        </is>
      </c>
      <c r="I214" t="inlineStr">
        <is>
          <t>Integration</t>
        </is>
      </c>
      <c r="J214" t="inlineStr">
        <is>
          <t>Automated</t>
        </is>
      </c>
      <c r="K214" t="inlineStr">
        <is>
          <t>PASS</t>
        </is>
      </c>
      <c r="L214" t="inlineStr">
        <is>
          <t>Identical assertions for QRIS. Payment method has no influence on booking - both manual-receipt methods reach the same settle() and therefore the same createForOrderSafe().</t>
        </is>
      </c>
      <c r="M214" t="inlineStr">
        <is>
          <t>backend/test/integration/courier-auto-booking.int-spec.ts on disposable MySQL 8.4; real PaymentSettlementService.settle() + real ShipmentService; courier stubbed</t>
        </is>
      </c>
      <c r="N214" t="inlineStr">
        <is>
          <t>2026-09-05</t>
        </is>
      </c>
    </row>
    <row r="215">
      <c r="A215" t="inlineStr">
        <is>
          <t>BOOK-003</t>
        </is>
      </c>
      <c r="B215" t="inlineStr">
        <is>
          <t>Courier Auto-Booking</t>
        </is>
      </c>
      <c r="C215" t="inlineStr">
        <is>
          <t>Shipment</t>
        </is>
      </c>
      <c r="D215" t="inlineStr">
        <is>
          <t>Settlement replay does not re-book or duplicate</t>
        </is>
      </c>
      <c r="E215" t="inlineStr">
        <is>
          <t>Disposable MySQL 8.4; stubbed courier</t>
        </is>
      </c>
      <c r="F215" t="inlineStr">
        <is>
          <t>Drive real settlement and assert the booking chain</t>
        </is>
      </c>
      <c r="G215" t="inlineStr">
        <is>
          <t>Automatic booking after payment settles</t>
        </is>
      </c>
      <c r="H215" t="inlineStr">
        <is>
          <t>P0</t>
        </is>
      </c>
      <c r="I215" t="inlineStr">
        <is>
          <t>Integration</t>
        </is>
      </c>
      <c r="J215" t="inlineStr">
        <is>
          <t>Automated</t>
        </is>
      </c>
      <c r="K215" t="inlineStr">
        <is>
          <t>PASS</t>
        </is>
      </c>
      <c r="L215" t="inlineStr">
        <is>
          <t>Second settle() returns ALREADY_PAID with no side effects: still ONE courier call, ONE notification, same AWB.</t>
        </is>
      </c>
      <c r="M215" t="inlineStr">
        <is>
          <t>backend/test/integration/courier-auto-booking.int-spec.ts on disposable MySQL 8.4; real PaymentSettlementService.settle() + real ShipmentService; courier stubbed</t>
        </is>
      </c>
      <c r="N215" t="inlineStr">
        <is>
          <t>2026-09-05</t>
        </is>
      </c>
    </row>
    <row r="216">
      <c r="A216" t="inlineStr">
        <is>
          <t>BOOK-004</t>
        </is>
      </c>
      <c r="B216" t="inlineStr">
        <is>
          <t>Courier Auto-Booking</t>
        </is>
      </c>
      <c r="C216" t="inlineStr">
        <is>
          <t>Shipment</t>
        </is>
      </c>
      <c r="D216" t="inlineStr">
        <is>
          <t>Concurrent booking produces exactly one courier call</t>
        </is>
      </c>
      <c r="E216" t="inlineStr">
        <is>
          <t>Disposable MySQL 8.4; stubbed courier</t>
        </is>
      </c>
      <c r="F216" t="inlineStr">
        <is>
          <t>Drive real settlement and assert the booking chain</t>
        </is>
      </c>
      <c r="G216" t="inlineStr">
        <is>
          <t>Automatic booking after payment settles</t>
        </is>
      </c>
      <c r="H216" t="inlineStr">
        <is>
          <t>P0</t>
        </is>
      </c>
      <c r="I216" t="inlineStr">
        <is>
          <t>Integration</t>
        </is>
      </c>
      <c r="J216" t="inlineStr">
        <is>
          <t>Automated</t>
        </is>
      </c>
      <c r="K216" t="inlineStr">
        <is>
          <t>PASS</t>
        </is>
      </c>
      <c r="L216" t="inlineStr">
        <is>
          <t>A second createForOrderSafe() after the AWB exists short-circuits on the trackingNumber early return: still one call, one notification.</t>
        </is>
      </c>
      <c r="M216" t="inlineStr">
        <is>
          <t>backend/test/integration/courier-auto-booking.int-spec.ts on disposable MySQL 8.4; real PaymentSettlementService.settle() + real ShipmentService; courier stubbed</t>
        </is>
      </c>
      <c r="N216" t="inlineStr">
        <is>
          <t>2026-09-05</t>
        </is>
      </c>
      <c r="O216" t="inlineStr">
        <is>
          <t>The CAS claim before the provider call remains the primary protection.</t>
        </is>
      </c>
    </row>
    <row r="217">
      <c r="A217" t="inlineStr">
        <is>
          <t>BOOK-005</t>
        </is>
      </c>
      <c r="B217" t="inlineStr">
        <is>
          <t>Courier Auto-Booking</t>
        </is>
      </c>
      <c r="C217" t="inlineStr">
        <is>
          <t>Shipment</t>
        </is>
      </c>
      <c r="D217" t="inlineStr">
        <is>
          <t>Courier failure leaves FAILED and retryable</t>
        </is>
      </c>
      <c r="E217" t="inlineStr">
        <is>
          <t>Disposable MySQL 8.4; stubbed courier</t>
        </is>
      </c>
      <c r="F217" t="inlineStr">
        <is>
          <t>Drive real settlement and assert the booking chain</t>
        </is>
      </c>
      <c r="G217" t="inlineStr">
        <is>
          <t>Automatic booking after payment settles</t>
        </is>
      </c>
      <c r="H217" t="inlineStr">
        <is>
          <t>P0</t>
        </is>
      </c>
      <c r="I217" t="inlineStr">
        <is>
          <t>Integration</t>
        </is>
      </c>
      <c r="J217" t="inlineStr">
        <is>
          <t>Automated</t>
        </is>
      </c>
      <c r="K217" t="inlineStr">
        <is>
          <t>PASS</t>
        </is>
      </c>
      <c r="L217" t="inlineStr">
        <is>
          <t>A throwing courier still lets the payment settle (booking is best-effort, outside the payment transaction). Shipment becomes FAILED with the error preserved in metadata, trackingNumber null, and ZERO notifications. A subsequent retry books successfully and produces exactly one notification.</t>
        </is>
      </c>
      <c r="M217" t="inlineStr">
        <is>
          <t>backend/test/integration/courier-auto-booking.int-spec.ts on disposable MySQL 8.4; real PaymentSettlementService.settle() + real ShipmentService; courier stubbed</t>
        </is>
      </c>
      <c r="N217" t="inlineStr">
        <is>
          <t>2026-09-05</t>
        </is>
      </c>
    </row>
    <row r="218">
      <c r="A218" t="inlineStr">
        <is>
          <t>BOOK-006</t>
        </is>
      </c>
      <c r="B218" t="inlineStr">
        <is>
          <t>Courier Auto-Booking</t>
        </is>
      </c>
      <c r="C218" t="inlineStr">
        <is>
          <t>Shipment</t>
        </is>
      </c>
      <c r="D218" t="inlineStr">
        <is>
          <t>PAXEL still declines without a pickup slot</t>
        </is>
      </c>
      <c r="E218" t="inlineStr">
        <is>
          <t>Disposable MySQL 8.4; stubbed courier</t>
        </is>
      </c>
      <c r="F218" t="inlineStr">
        <is>
          <t>Drive real settlement and assert the booking chain</t>
        </is>
      </c>
      <c r="G218" t="inlineStr">
        <is>
          <t>Automatic booking after payment settles</t>
        </is>
      </c>
      <c r="H218" t="inlineStr">
        <is>
          <t>P0</t>
        </is>
      </c>
      <c r="I218" t="inlineStr">
        <is>
          <t>Integration</t>
        </is>
      </c>
      <c r="J218" t="inlineStr">
        <is>
          <t>Automated</t>
        </is>
      </c>
      <c r="K218" t="inlineStr">
        <is>
          <t>PASS</t>
        </is>
      </c>
      <c r="L218" t="inlineStr">
        <is>
          <t>BLOCKED BY DESIGN, verified: no courier call, shipment left untouched at RATE_SELECTED (not FAILED), order stays PROCESSING, no notification. Paxel automatic booking was NOT enabled - see BOOK-007.</t>
        </is>
      </c>
      <c r="M218" t="inlineStr">
        <is>
          <t>backend/test/integration/courier-auto-booking.int-spec.ts on disposable MySQL 8.4; real PaymentSettlementService.settle() + real ShipmentService; courier stubbed</t>
        </is>
      </c>
      <c r="N218" t="inlineStr">
        <is>
          <t>2026-09-05</t>
        </is>
      </c>
      <c r="O218" t="inlineStr">
        <is>
          <t>Leaving the row untouched is what keeps the admin packing flow able to schedule and book it.</t>
        </is>
      </c>
    </row>
    <row r="219">
      <c r="A219" t="inlineStr">
        <is>
          <t>BOOK-007</t>
        </is>
      </c>
      <c r="B219" t="inlineStr">
        <is>
          <t>Courier Auto-Booking</t>
        </is>
      </c>
      <c r="C219" t="inlineStr">
        <is>
          <t>Shipment</t>
        </is>
      </c>
      <c r="D219" t="inlineStr">
        <is>
          <t>Paxel automatic pickup schedule</t>
        </is>
      </c>
      <c r="E219" t="inlineStr">
        <is>
          <t>Disposable MySQL 8.4; stubbed courier</t>
        </is>
      </c>
      <c r="F219" t="inlineStr">
        <is>
          <t>Drive real settlement and assert the booking chain</t>
        </is>
      </c>
      <c r="G219" t="inlineStr">
        <is>
          <t>Automatic booking after payment settles</t>
        </is>
      </c>
      <c r="H219" t="inlineStr">
        <is>
          <t>P0</t>
        </is>
      </c>
      <c r="I219" t="inlineStr">
        <is>
          <t>Integration</t>
        </is>
      </c>
      <c r="J219" t="inlineStr">
        <is>
          <t>Automated</t>
        </is>
      </c>
      <c r="K219" t="inlineStr">
        <is>
          <t>PASS</t>
        </is>
      </c>
      <c r="L219" t="inlineStr">
        <is>
          <t>RESOLVED IN 61AG.3.32. Blocked in 3.31 because Paxel genuinely requires pickup_datetime and the application had no model from which a slot could be derived; the phase stopped rather than invent one. The business then supplied the missing rule (verified at or before 17:00 Asia/Jakarta -&gt; that day at 19:00, after -&gt; the next calendar day at 19:00) and it is now implemented in PaxelPickupScheduler and verified end to end. See PICK-001..010 and BOOK-008..019.</t>
        </is>
      </c>
      <c r="M219" t="inlineStr">
        <is>
          <t>src/modules/shipment/infrastructure/providers/paxel-shipment.provider.ts:222; application/dto/prepare-shipment.dto.ts; admin/app/orders/components/prepare-shipment-panel.tsx:10-12</t>
        </is>
      </c>
      <c r="N219" t="inlineStr">
        <is>
          <t>2026-09-05</t>
        </is>
      </c>
      <c r="O219" t="inlineStr">
        <is>
          <t>The blocker was a missing BUSINESS DECISION, not a missing implementation - which is why 3.31 reported it instead of guessing. requiresPickupSchedule was never removed; the API requirement is now satisfied, not bypassed.</t>
        </is>
      </c>
    </row>
    <row r="220">
      <c r="A220" t="inlineStr">
        <is>
          <t>PICK-001</t>
        </is>
      </c>
      <c r="B220" t="inlineStr">
        <is>
          <t>Paxel Pickup Rule</t>
        </is>
      </c>
      <c r="C220" t="inlineStr">
        <is>
          <t>Shipment</t>
        </is>
      </c>
      <c r="D220" t="inlineStr">
        <is>
          <t>Verified before the cutoff -&gt; the SAME day at 19:00 WIB</t>
        </is>
      </c>
      <c r="E220" t="inlineStr">
        <is>
          <t>Disposable MySQL 8.4 (Testcontainers) and/or pure-function harness; stubbed Paxel and JNE</t>
        </is>
      </c>
      <c r="F220" t="inlineStr">
        <is>
          <t>Drive the real resolver / settlement / shipment service and assert the persisted and outgoing values</t>
        </is>
      </c>
      <c r="G220" t="inlineStr">
        <is>
          <t>The appointment follows the confirmed business rule and reaches the courier unchanged</t>
        </is>
      </c>
      <c r="H220" t="inlineStr">
        <is>
          <t>P0</t>
        </is>
      </c>
      <c r="I220" t="inlineStr">
        <is>
          <t>Unit</t>
        </is>
      </c>
      <c r="J220" t="inlineStr">
        <is>
          <t>Automated</t>
        </is>
      </c>
      <c r="K220" t="inlineStr">
        <is>
          <t>PASS</t>
        </is>
      </c>
      <c r="L220" t="inlineStr">
        <is>
          <t>Resolved 08:00 / 09:00 / 12:30 / 16:59 WIB on 2026-09-05 to 2026-09-05T12:00:00.000Z (19:00 WIB) in every case. Assertions are absolute UTC instants, so a Jakarta-local machine cannot make a buggy implementation pass.</t>
        </is>
      </c>
      <c r="M220" t="inlineStr">
        <is>
          <t>backend/test/unit/paxel-pickup-scheduler.spec.ts (71 tests, all passing)</t>
        </is>
      </c>
      <c r="N220" t="inlineStr">
        <is>
          <t>2026-09-05</t>
        </is>
      </c>
    </row>
    <row r="221">
      <c r="A221" t="inlineStr">
        <is>
          <t>PICK-002</t>
        </is>
      </c>
      <c r="B221" t="inlineStr">
        <is>
          <t>Paxel Pickup Rule</t>
        </is>
      </c>
      <c r="C221" t="inlineStr">
        <is>
          <t>Shipment</t>
        </is>
      </c>
      <c r="D221" t="inlineStr">
        <is>
          <t>The 17:00 cutoff is INCLUSIVE</t>
        </is>
      </c>
      <c r="E221" t="inlineStr">
        <is>
          <t>Disposable MySQL 8.4 (Testcontainers) and/or pure-function harness; stubbed Paxel and JNE</t>
        </is>
      </c>
      <c r="F221" t="inlineStr">
        <is>
          <t>Drive the real resolver / settlement / shipment service and assert the persisted and outgoing values</t>
        </is>
      </c>
      <c r="G221" t="inlineStr">
        <is>
          <t>The appointment follows the confirmed business rule and reaches the courier unchanged</t>
        </is>
      </c>
      <c r="H221" t="inlineStr">
        <is>
          <t>P0</t>
        </is>
      </c>
      <c r="I221" t="inlineStr">
        <is>
          <t>Unit</t>
        </is>
      </c>
      <c r="J221" t="inlineStr">
        <is>
          <t>Automated</t>
        </is>
      </c>
      <c r="K221" t="inlineStr">
        <is>
          <t>PASS</t>
        </is>
      </c>
      <c r="L221" t="inlineStr">
        <is>
          <t>17:00:00 WIB resolves to the same day 19:00; 17:01:00 resolves to the next day. Also pinned at minute granularity: 17:00:59 still catches the same-day run, because the business stated the boundary in minutes, not seconds.</t>
        </is>
      </c>
      <c r="M221" t="inlineStr">
        <is>
          <t>backend/test/unit/paxel-pickup-scheduler.spec.ts (71 tests, all passing)</t>
        </is>
      </c>
      <c r="N221" t="inlineStr">
        <is>
          <t>2026-09-05</t>
        </is>
      </c>
      <c r="O221" t="inlineStr">
        <is>
          <t>Minute granularity is a deliberate reading of "17:00 is INCLUDED / 17:01 is the next-day case".</t>
        </is>
      </c>
    </row>
    <row r="222">
      <c r="A222" t="inlineStr">
        <is>
          <t>PICK-003</t>
        </is>
      </c>
      <c r="B222" t="inlineStr">
        <is>
          <t>Paxel Pickup Rule</t>
        </is>
      </c>
      <c r="C222" t="inlineStr">
        <is>
          <t>Shipment</t>
        </is>
      </c>
      <c r="D222" t="inlineStr">
        <is>
          <t>Verified after the cutoff -&gt; the NEXT day at 19:00 WIB</t>
        </is>
      </c>
      <c r="E222" t="inlineStr">
        <is>
          <t>Disposable MySQL 8.4 (Testcontainers) and/or pure-function harness; stubbed Paxel and JNE</t>
        </is>
      </c>
      <c r="F222" t="inlineStr">
        <is>
          <t>Drive the real resolver / settlement / shipment service and assert the persisted and outgoing values</t>
        </is>
      </c>
      <c r="G222" t="inlineStr">
        <is>
          <t>The appointment follows the confirmed business rule and reaches the courier unchanged</t>
        </is>
      </c>
      <c r="H222" t="inlineStr">
        <is>
          <t>P0</t>
        </is>
      </c>
      <c r="I222" t="inlineStr">
        <is>
          <t>Unit</t>
        </is>
      </c>
      <c r="J222" t="inlineStr">
        <is>
          <t>Automated</t>
        </is>
      </c>
      <c r="K222" t="inlineStr">
        <is>
          <t>PASS</t>
        </is>
      </c>
      <c r="L222" t="inlineStr">
        <is>
          <t>17:01 / 19:00 / 22:00 / 23:59 WIB on 2026-09-05 all resolve to 2026-09-06T12:00:00.000Z.</t>
        </is>
      </c>
      <c r="M222" t="inlineStr">
        <is>
          <t>backend/test/unit/paxel-pickup-scheduler.spec.ts (71 tests, all passing)</t>
        </is>
      </c>
      <c r="N222" t="inlineStr">
        <is>
          <t>2026-09-05</t>
        </is>
      </c>
    </row>
    <row r="223">
      <c r="A223" t="inlineStr">
        <is>
          <t>PICK-004</t>
        </is>
      </c>
      <c r="B223" t="inlineStr">
        <is>
          <t>Paxel Pickup Rule</t>
        </is>
      </c>
      <c r="C223" t="inlineStr">
        <is>
          <t>Shipment</t>
        </is>
      </c>
      <c r="D223" t="inlineStr">
        <is>
          <t>The appointment is always in the future relative to the verification</t>
        </is>
      </c>
      <c r="E223" t="inlineStr">
        <is>
          <t>Disposable MySQL 8.4 (Testcontainers) and/or pure-function harness; stubbed Paxel and JNE</t>
        </is>
      </c>
      <c r="F223" t="inlineStr">
        <is>
          <t>Drive the real resolver / settlement / shipment service and assert the persisted and outgoing values</t>
        </is>
      </c>
      <c r="G223" t="inlineStr">
        <is>
          <t>The appointment follows the confirmed business rule and reaches the courier unchanged</t>
        </is>
      </c>
      <c r="H223" t="inlineStr">
        <is>
          <t>P1</t>
        </is>
      </c>
      <c r="I223" t="inlineStr">
        <is>
          <t>Unit</t>
        </is>
      </c>
      <c r="J223" t="inlineStr">
        <is>
          <t>Automated</t>
        </is>
      </c>
      <c r="K223" t="inlineStr">
        <is>
          <t>PASS</t>
        </is>
      </c>
      <c r="L223" t="inlineStr">
        <is>
          <t>Swept all 24 hours at :30 and asserted the resolved instant is strictly greater than the reference every time.</t>
        </is>
      </c>
      <c r="M223" t="inlineStr">
        <is>
          <t>backend/test/unit/paxel-pickup-scheduler.spec.ts (71 tests, all passing)</t>
        </is>
      </c>
      <c r="N223" t="inlineStr">
        <is>
          <t>2026-09-05</t>
        </is>
      </c>
    </row>
    <row r="224">
      <c r="A224" t="inlineStr">
        <is>
          <t>PICK-005</t>
        </is>
      </c>
      <c r="B224" t="inlineStr">
        <is>
          <t>Paxel Pickup Rule</t>
        </is>
      </c>
      <c r="C224" t="inlineStr">
        <is>
          <t>Shipment</t>
        </is>
      </c>
      <c r="D224" t="inlineStr">
        <is>
          <t>A UTC-expressed instant is evaluated in Jakarta local time</t>
        </is>
      </c>
      <c r="E224" t="inlineStr">
        <is>
          <t>Disposable MySQL 8.4 (Testcontainers) and/or pure-function harness; stubbed Paxel and JNE</t>
        </is>
      </c>
      <c r="F224" t="inlineStr">
        <is>
          <t>Drive the real resolver / settlement / shipment service and assert the persisted and outgoing values</t>
        </is>
      </c>
      <c r="G224" t="inlineStr">
        <is>
          <t>The appointment follows the confirmed business rule and reaches the courier unchanged</t>
        </is>
      </c>
      <c r="H224" t="inlineStr">
        <is>
          <t>P0</t>
        </is>
      </c>
      <c r="I224" t="inlineStr">
        <is>
          <t>Unit</t>
        </is>
      </c>
      <c r="J224" t="inlineStr">
        <is>
          <t>Automated</t>
        </is>
      </c>
      <c r="K224" t="inlineStr">
        <is>
          <t>PASS</t>
        </is>
      </c>
      <c r="L224" t="inlineStr">
        <is>
          <t>2026-09-05T18:00Z is already 01:00 on the 6th in Jakarta, and resolves to the 6th at 19:00 - not the 5th. 11:00Z (18:00 WIB) crosses the cutoff; 09:59Z (16:59 WIB) does not.</t>
        </is>
      </c>
      <c r="M224" t="inlineStr">
        <is>
          <t>backend/test/unit/paxel-pickup-scheduler.spec.ts (71 tests, all passing)</t>
        </is>
      </c>
      <c r="N224" t="inlineStr">
        <is>
          <t>2026-09-05</t>
        </is>
      </c>
    </row>
    <row r="225">
      <c r="A225" t="inlineStr">
        <is>
          <t>PICK-006</t>
        </is>
      </c>
      <c r="B225" t="inlineStr">
        <is>
          <t>Paxel Pickup Rule</t>
        </is>
      </c>
      <c r="C225" t="inlineStr">
        <is>
          <t>Shipment</t>
        </is>
      </c>
      <c r="D225" t="inlineStr">
        <is>
          <t>The result does not depend on the process timezone</t>
        </is>
      </c>
      <c r="E225" t="inlineStr">
        <is>
          <t>Disposable MySQL 8.4 (Testcontainers) and/or pure-function harness; stubbed Paxel and JNE</t>
        </is>
      </c>
      <c r="F225" t="inlineStr">
        <is>
          <t>Drive the real resolver / settlement / shipment service and assert the persisted and outgoing values</t>
        </is>
      </c>
      <c r="G225" t="inlineStr">
        <is>
          <t>The appointment follows the confirmed business rule and reaches the courier unchanged</t>
        </is>
      </c>
      <c r="H225" t="inlineStr">
        <is>
          <t>P0</t>
        </is>
      </c>
      <c r="I225" t="inlineStr">
        <is>
          <t>Unit</t>
        </is>
      </c>
      <c r="J225" t="inlineStr">
        <is>
          <t>Automated</t>
        </is>
      </c>
      <c r="K225" t="inlineStr">
        <is>
          <t>PASS</t>
        </is>
      </c>
      <c r="L225" t="inlineStr">
        <is>
          <t>Ran the REAL module in child processes whose timezone genuinely differs (mutating process.env.TZ inside Jest does not work - Date keeps the timezone the worker started with). All three answered 2026-09-06T12:00:00.000Z, and the Paxel wire string was "2026-09-06 19:00:00" from the UTC process.</t>
        </is>
      </c>
      <c r="M225" t="inlineStr">
        <is>
          <t>backend/test/unit/paxel-pickup-scheduler.spec.ts (71 tests, all passing); child processes launched with TZ=Asia/Jakarta, TZ=UTC and TZ=Pacific/Kiritimati</t>
        </is>
      </c>
      <c r="N225" t="inlineStr">
        <is>
          <t>2026-09-05</t>
        </is>
      </c>
      <c r="O225" t="inlineStr">
        <is>
          <t>Production containers run UTC (no TZ in any Dockerfile) while developer machines run Asia/Jakarta - the exact gap that once shifted every Paxel booking by seven hours.</t>
        </is>
      </c>
    </row>
    <row r="226">
      <c r="A226" t="inlineStr">
        <is>
          <t>PICK-007</t>
        </is>
      </c>
      <c r="B226" t="inlineStr">
        <is>
          <t>Paxel Pickup Rule</t>
        </is>
      </c>
      <c r="C226" t="inlineStr">
        <is>
          <t>Shipment</t>
        </is>
      </c>
      <c r="D226" t="inlineStr">
        <is>
          <t>Calendar boundaries roll correctly (month, year, leap day)</t>
        </is>
      </c>
      <c r="E226" t="inlineStr">
        <is>
          <t>Disposable MySQL 8.4 (Testcontainers) and/or pure-function harness; stubbed Paxel and JNE</t>
        </is>
      </c>
      <c r="F226" t="inlineStr">
        <is>
          <t>Drive the real resolver / settlement / shipment service and assert the persisted and outgoing values</t>
        </is>
      </c>
      <c r="G226" t="inlineStr">
        <is>
          <t>The appointment follows the confirmed business rule and reaches the courier unchanged</t>
        </is>
      </c>
      <c r="H226" t="inlineStr">
        <is>
          <t>P0</t>
        </is>
      </c>
      <c r="I226" t="inlineStr">
        <is>
          <t>Unit</t>
        </is>
      </c>
      <c r="J226" t="inlineStr">
        <is>
          <t>Automated</t>
        </is>
      </c>
      <c r="K226" t="inlineStr">
        <is>
          <t>PASS</t>
        </is>
      </c>
      <c r="L226" t="inlineStr">
        <is>
          <t>31 Aug 23:59 -&gt; 1 Sep; 30 Sep 17:01 -&gt; 1 Oct; 31 Dec 23:00 -&gt; 1 Jan of the next year; 28 Feb 2028 -&gt; 29 Feb and 29 Feb -&gt; 1 Mar. Civil date arithmetic throughout, never UTC-date arithmetic.</t>
        </is>
      </c>
      <c r="M226" t="inlineStr">
        <is>
          <t>backend/test/unit/paxel-pickup-scheduler.spec.ts (71 tests, all passing)</t>
        </is>
      </c>
      <c r="N226" t="inlineStr">
        <is>
          <t>2026-09-05</t>
        </is>
      </c>
    </row>
    <row r="227">
      <c r="A227" t="inlineStr">
        <is>
          <t>PICK-008</t>
        </is>
      </c>
      <c r="B227" t="inlineStr">
        <is>
          <t>Paxel Pickup Rule</t>
        </is>
      </c>
      <c r="C227" t="inlineStr">
        <is>
          <t>Shipment</t>
        </is>
      </c>
      <c r="D227" t="inlineStr">
        <is>
          <t>Timezone conversion is correct across a DST transition</t>
        </is>
      </c>
      <c r="E227" t="inlineStr">
        <is>
          <t>Disposable MySQL 8.4 (Testcontainers) and/or pure-function harness; stubbed Paxel and JNE</t>
        </is>
      </c>
      <c r="F227" t="inlineStr">
        <is>
          <t>Drive the real resolver / settlement / shipment service and assert the persisted and outgoing values</t>
        </is>
      </c>
      <c r="G227" t="inlineStr">
        <is>
          <t>The appointment follows the confirmed business rule and reaches the courier unchanged</t>
        </is>
      </c>
      <c r="H227" t="inlineStr">
        <is>
          <t>P1</t>
        </is>
      </c>
      <c r="I227" t="inlineStr">
        <is>
          <t>Unit</t>
        </is>
      </c>
      <c r="J227" t="inlineStr">
        <is>
          <t>Automated</t>
        </is>
      </c>
      <c r="K227" t="inlineStr">
        <is>
          <t>PASS</t>
        </is>
      </c>
      <c r="L227" t="inlineStr">
        <is>
          <t>With the policy pointed at America/New_York, a verification at 18:00 EDT on 31 Oct 2026 resolves to 19:00 on 1 Nov - the day US clocks fall back - which is 2026-11-02T00:00:00.000Z. A single-pass conversion using the offset at the REFERENCE would have answered an hour early.</t>
        </is>
      </c>
      <c r="M227" t="inlineStr">
        <is>
          <t>backend/test/unit/paxel-pickup-scheduler.spec.ts (71 tests, all passing)</t>
        </is>
      </c>
      <c r="N227" t="inlineStr">
        <is>
          <t>2026-09-05</t>
        </is>
      </c>
      <c r="O227" t="inlineStr">
        <is>
          <t>Asia/Jakarta has no DST, so the second pass is a no-op there; it exists so the function is correct by construction rather than accidentally right for one zone.</t>
        </is>
      </c>
    </row>
    <row r="228">
      <c r="A228" t="inlineStr">
        <is>
          <t>PICK-009</t>
        </is>
      </c>
      <c r="B228" t="inlineStr">
        <is>
          <t>Paxel Pickup Rule</t>
        </is>
      </c>
      <c r="C228" t="inlineStr">
        <is>
          <t>Shipment</t>
        </is>
      </c>
      <c r="D228" t="inlineStr">
        <is>
          <t>Invalid configuration fails fast and is never defaulted</t>
        </is>
      </c>
      <c r="E228" t="inlineStr">
        <is>
          <t>Disposable MySQL 8.4 (Testcontainers) and/or pure-function harness; stubbed Paxel and JNE</t>
        </is>
      </c>
      <c r="F228" t="inlineStr">
        <is>
          <t>Drive the real resolver / settlement / shipment service and assert the persisted and outgoing values</t>
        </is>
      </c>
      <c r="G228" t="inlineStr">
        <is>
          <t>The appointment follows the confirmed business rule and reaches the courier unchanged</t>
        </is>
      </c>
      <c r="H228" t="inlineStr">
        <is>
          <t>P0</t>
        </is>
      </c>
      <c r="I228" t="inlineStr">
        <is>
          <t>Unit</t>
        </is>
      </c>
      <c r="J228" t="inlineStr">
        <is>
          <t>Automated</t>
        </is>
      </c>
      <c r="K228" t="inlineStr">
        <is>
          <t>PASS</t>
        </is>
      </c>
      <c r="L228" t="inlineStr">
        <is>
          <t>assertShippingConfigured rejects a missing/invalid PAXEL_PICKUP_TIMEZONE, a missing or malformed PAXEL_PICKUP_CUTOFF_TIME and PAXEL_PICKUP_DEFAULT_TIME while the feature is on, and the resolver itself throws PermanentError rather than substituting a value. It deliberately does NOT require the pickup time to fall after the cutoff - the business rule puts it later on purpose.</t>
        </is>
      </c>
      <c r="M228" t="inlineStr">
        <is>
          <t>backend/test/unit/paxel-pickup-scheduler.spec.ts (71 tests, all passing)</t>
        </is>
      </c>
      <c r="N228" t="inlineStr">
        <is>
          <t>2026-09-05</t>
        </is>
      </c>
    </row>
    <row r="229">
      <c r="A229" t="inlineStr">
        <is>
          <t>PICK-010</t>
        </is>
      </c>
      <c r="B229" t="inlineStr">
        <is>
          <t>Paxel Pickup Rule</t>
        </is>
      </c>
      <c r="C229" t="inlineStr">
        <is>
          <t>Shipment</t>
        </is>
      </c>
      <c r="D229" t="inlineStr">
        <is>
          <t>Absent configuration means DISABLED, never enabled</t>
        </is>
      </c>
      <c r="E229" t="inlineStr">
        <is>
          <t>Disposable MySQL 8.4 (Testcontainers) and/or pure-function harness; stubbed Paxel and JNE</t>
        </is>
      </c>
      <c r="F229" t="inlineStr">
        <is>
          <t>Drive the real resolver / settlement / shipment service and assert the persisted and outgoing values</t>
        </is>
      </c>
      <c r="G229" t="inlineStr">
        <is>
          <t>The appointment follows the confirmed business rule and reaches the courier unchanged</t>
        </is>
      </c>
      <c r="H229" t="inlineStr">
        <is>
          <t>P0</t>
        </is>
      </c>
      <c r="I229" t="inlineStr">
        <is>
          <t>Unit</t>
        </is>
      </c>
      <c r="J229" t="inlineStr">
        <is>
          <t>Automated</t>
        </is>
      </c>
      <c r="K229" t="inlineStr">
        <is>
          <t>PASS</t>
        </is>
      </c>
      <c r="L229" t="inlineStr">
        <is>
          <t>PaxelPickupScheduler.enabled is false both when autoPickup is entirely absent and when the flag is off, and resolveIso throws in both cases. loadShippingConfig({}) yields enabled=false and is not a boot error.</t>
        </is>
      </c>
      <c r="M229" t="inlineStr">
        <is>
          <t>backend/test/unit/paxel-pickup-scheduler.spec.ts (71 tests, all passing)</t>
        </is>
      </c>
      <c r="N229" t="inlineStr">
        <is>
          <t>2026-09-05</t>
        </is>
      </c>
      <c r="O229" t="inlineStr">
        <is>
          <t>Mirrors the JNE "absent means sandbox" idiom: a courier is never committed by an unset variable.</t>
        </is>
      </c>
    </row>
    <row r="230">
      <c r="A230" t="inlineStr">
        <is>
          <t>BOOK-008</t>
        </is>
      </c>
      <c r="B230" t="inlineStr">
        <is>
          <t>Courier Auto-Booking</t>
        </is>
      </c>
      <c r="C230" t="inlineStr">
        <is>
          <t>Shipment</t>
        </is>
      </c>
      <c r="D230" t="inlineStr">
        <is>
          <t>BANK_TRANSFER x PAXEL books automatically after verification</t>
        </is>
      </c>
      <c r="E230" t="inlineStr">
        <is>
          <t>Disposable MySQL 8.4 (Testcontainers) and/or pure-function harness; stubbed Paxel and JNE</t>
        </is>
      </c>
      <c r="F230" t="inlineStr">
        <is>
          <t>Drive the real resolver / settlement / shipment service and assert the persisted and outgoing values</t>
        </is>
      </c>
      <c r="G230" t="inlineStr">
        <is>
          <t>The appointment follows the confirmed business rule and reaches the courier unchanged</t>
        </is>
      </c>
      <c r="H230" t="inlineStr">
        <is>
          <t>P0</t>
        </is>
      </c>
      <c r="I230" t="inlineStr">
        <is>
          <t>Integration</t>
        </is>
      </c>
      <c r="J230" t="inlineStr">
        <is>
          <t>Automated</t>
        </is>
      </c>
      <c r="K230" t="inlineStr">
        <is>
          <t>PASS</t>
        </is>
      </c>
      <c r="L230" t="inlineStr">
        <is>
          <t>Real settle() -&gt; PAID, order PROCESSING -&gt; after-commit createForOrderSafe -&gt; pickup resolved -&gt; Paxel stub called exactly once -&gt; AWB PXL0011223344 persisted as both trackingNumber and providerShipmentId -&gt; shipment past RATE_SELECTED -&gt; order SHIPPED -&gt; exactly one order.shipped notification to the customer phone.</t>
        </is>
      </c>
      <c r="M230" t="inlineStr">
        <is>
          <t>backend/test/integration/courier-auto-booking.int-spec.ts on disposable MySQL 8.4 (Testcontainers); real PaymentSettlementService.settle + ShipmentService + PaxelPickupScheduler; only the courier HTTP call is stubbed, so no Paxel/JNE request leaves the process</t>
        </is>
      </c>
      <c r="N230" t="inlineStr">
        <is>
          <t>2026-09-05</t>
        </is>
      </c>
    </row>
    <row r="231">
      <c r="A231" t="inlineStr">
        <is>
          <t>BOOK-009</t>
        </is>
      </c>
      <c r="B231" t="inlineStr">
        <is>
          <t>Courier Auto-Booking</t>
        </is>
      </c>
      <c r="C231" t="inlineStr">
        <is>
          <t>Shipment</t>
        </is>
      </c>
      <c r="D231" t="inlineStr">
        <is>
          <t>QRIS x PAXEL books automatically after verification</t>
        </is>
      </c>
      <c r="E231" t="inlineStr">
        <is>
          <t>Disposable MySQL 8.4 (Testcontainers) and/or pure-function harness; stubbed Paxel and JNE</t>
        </is>
      </c>
      <c r="F231" t="inlineStr">
        <is>
          <t>Drive the real resolver / settlement / shipment service and assert the persisted and outgoing values</t>
        </is>
      </c>
      <c r="G231" t="inlineStr">
        <is>
          <t>The appointment follows the confirmed business rule and reaches the courier unchanged</t>
        </is>
      </c>
      <c r="H231" t="inlineStr">
        <is>
          <t>P0</t>
        </is>
      </c>
      <c r="I231" t="inlineStr">
        <is>
          <t>Integration</t>
        </is>
      </c>
      <c r="J231" t="inlineStr">
        <is>
          <t>Automated</t>
        </is>
      </c>
      <c r="K231" t="inlineStr">
        <is>
          <t>PASS</t>
        </is>
      </c>
      <c r="L231" t="inlineStr">
        <is>
          <t>Identical chain with AWB PXL0055667788. The payment method has no influence on booking whatsoever - only the courier does; both are manual-receipt methods settled through the same admin verification path.</t>
        </is>
      </c>
      <c r="M231" t="inlineStr">
        <is>
          <t>backend/test/integration/courier-auto-booking.int-spec.ts on disposable MySQL 8.4 (Testcontainers); real PaymentSettlementService.settle + ShipmentService + PaxelPickupScheduler; only the courier HTTP call is stubbed, so no Paxel/JNE request leaves the process</t>
        </is>
      </c>
      <c r="N231" t="inlineStr">
        <is>
          <t>2026-09-05</t>
        </is>
      </c>
    </row>
    <row r="232">
      <c r="A232" t="inlineStr">
        <is>
          <t>BOOK-010</t>
        </is>
      </c>
      <c r="B232" t="inlineStr">
        <is>
          <t>Courier Auto-Booking</t>
        </is>
      </c>
      <c r="C232" t="inlineStr">
        <is>
          <t>Shipment</t>
        </is>
      </c>
      <c r="D232" t="inlineStr">
        <is>
          <t>BANK_TRANSFER x JNE regression (61AG.3.31) still holds</t>
        </is>
      </c>
      <c r="E232" t="inlineStr">
        <is>
          <t>Disposable MySQL 8.4 (Testcontainers) and/or pure-function harness; stubbed Paxel and JNE</t>
        </is>
      </c>
      <c r="F232" t="inlineStr">
        <is>
          <t>Drive the real resolver / settlement / shipment service and assert the persisted and outgoing values</t>
        </is>
      </c>
      <c r="G232" t="inlineStr">
        <is>
          <t>The appointment follows the confirmed business rule and reaches the courier unchanged</t>
        </is>
      </c>
      <c r="H232" t="inlineStr">
        <is>
          <t>P0</t>
        </is>
      </c>
      <c r="I232" t="inlineStr">
        <is>
          <t>Integration</t>
        </is>
      </c>
      <c r="J232" t="inlineStr">
        <is>
          <t>Automated</t>
        </is>
      </c>
      <c r="K232" t="inlineStr">
        <is>
          <t>PASS</t>
        </is>
      </c>
      <c r="L232" t="inlineStr">
        <is>
          <t>Unchanged: booked automatically, cnote JNE0011223344 persisted, order SHIPPED, one notification.</t>
        </is>
      </c>
      <c r="M232" t="inlineStr">
        <is>
          <t>backend/test/integration/courier-auto-booking.int-spec.ts on disposable MySQL 8.4 (Testcontainers); real PaymentSettlementService.settle + ShipmentService + PaxelPickupScheduler; only the courier HTTP call is stubbed, so no Paxel/JNE request leaves the process</t>
        </is>
      </c>
      <c r="N232" t="inlineStr">
        <is>
          <t>2026-09-05</t>
        </is>
      </c>
    </row>
    <row r="233">
      <c r="A233" t="inlineStr">
        <is>
          <t>BOOK-011</t>
        </is>
      </c>
      <c r="B233" t="inlineStr">
        <is>
          <t>Courier Auto-Booking</t>
        </is>
      </c>
      <c r="C233" t="inlineStr">
        <is>
          <t>Shipment</t>
        </is>
      </c>
      <c r="D233" t="inlineStr">
        <is>
          <t>QRIS x JNE regression (61AG.3.31) still holds</t>
        </is>
      </c>
      <c r="E233" t="inlineStr">
        <is>
          <t>Disposable MySQL 8.4 (Testcontainers) and/or pure-function harness; stubbed Paxel and JNE</t>
        </is>
      </c>
      <c r="F233" t="inlineStr">
        <is>
          <t>Drive the real resolver / settlement / shipment service and assert the persisted and outgoing values</t>
        </is>
      </c>
      <c r="G233" t="inlineStr">
        <is>
          <t>The appointment follows the confirmed business rule and reaches the courier unchanged</t>
        </is>
      </c>
      <c r="H233" t="inlineStr">
        <is>
          <t>P0</t>
        </is>
      </c>
      <c r="I233" t="inlineStr">
        <is>
          <t>Integration</t>
        </is>
      </c>
      <c r="J233" t="inlineStr">
        <is>
          <t>Automated</t>
        </is>
      </c>
      <c r="K233" t="inlineStr">
        <is>
          <t>PASS</t>
        </is>
      </c>
      <c r="L233" t="inlineStr">
        <is>
          <t>Unchanged: booked automatically, cnote JNE0055667788 persisted, order SHIPPED, one notification.</t>
        </is>
      </c>
      <c r="M233" t="inlineStr">
        <is>
          <t>backend/test/integration/courier-auto-booking.int-spec.ts on disposable MySQL 8.4 (Testcontainers); real PaymentSettlementService.settle + ShipmentService + PaxelPickupScheduler; only the courier HTTP call is stubbed, so no Paxel/JNE request leaves the process</t>
        </is>
      </c>
      <c r="N233" t="inlineStr">
        <is>
          <t>2026-09-05</t>
        </is>
      </c>
    </row>
    <row r="234">
      <c r="A234" t="inlineStr">
        <is>
          <t>BOOK-012</t>
        </is>
      </c>
      <c r="B234" t="inlineStr">
        <is>
          <t>Courier Auto-Booking</t>
        </is>
      </c>
      <c r="C234" t="inlineStr">
        <is>
          <t>Shipment</t>
        </is>
      </c>
      <c r="D234" t="inlineStr">
        <is>
          <t>The resolved pickup is persisted and reaches the courier</t>
        </is>
      </c>
      <c r="E234" t="inlineStr">
        <is>
          <t>Disposable MySQL 8.4 (Testcontainers) and/or pure-function harness; stubbed Paxel and JNE</t>
        </is>
      </c>
      <c r="F234" t="inlineStr">
        <is>
          <t>Drive the real resolver / settlement / shipment service and assert the persisted and outgoing values</t>
        </is>
      </c>
      <c r="G234" t="inlineStr">
        <is>
          <t>The appointment follows the confirmed business rule and reaches the courier unchanged</t>
        </is>
      </c>
      <c r="H234" t="inlineStr">
        <is>
          <t>P0</t>
        </is>
      </c>
      <c r="I234" t="inlineStr">
        <is>
          <t>Integration</t>
        </is>
      </c>
      <c r="J234" t="inlineStr">
        <is>
          <t>Automated</t>
        </is>
      </c>
      <c r="K234" t="inlineStr">
        <is>
          <t>PASS</t>
        </is>
      </c>
      <c r="L234" t="inlineStr">
        <is>
          <t>The instant sent to the provider equals the instant stored in Shipment.metadata.paxel.pickupDatetime, and rendering it through the real formatPaxelDatetime gives "&lt;date&gt; 19:00:00" - the Jakarta wall clock Paxel reads. It is also strictly later than the persisted Payment.verifiedAt.</t>
        </is>
      </c>
      <c r="M234" t="inlineStr">
        <is>
          <t>backend/test/integration/courier-auto-booking.int-spec.ts on disposable MySQL 8.4 (Testcontainers); real PaymentSettlementService.settle + ShipmentService + PaxelPickupScheduler; only the courier HTTP call is stubbed, so no Paxel/JNE request leaves the process</t>
        </is>
      </c>
      <c r="N234" t="inlineStr">
        <is>
          <t>2026-09-05</t>
        </is>
      </c>
    </row>
    <row r="235">
      <c r="A235" t="inlineStr">
        <is>
          <t>BOOK-013</t>
        </is>
      </c>
      <c r="B235" t="inlineStr">
        <is>
          <t>Courier Auto-Booking</t>
        </is>
      </c>
      <c r="C235" t="inlineStr">
        <is>
          <t>Shipment</t>
        </is>
      </c>
      <c r="D235" t="inlineStr">
        <is>
          <t>Exact appointment on both sides of the cutoff, end to end</t>
        </is>
      </c>
      <c r="E235" t="inlineStr">
        <is>
          <t>Disposable MySQL 8.4 (Testcontainers) and/or pure-function harness; stubbed Paxel and JNE</t>
        </is>
      </c>
      <c r="F235" t="inlineStr">
        <is>
          <t>Drive the real resolver / settlement / shipment service and assert the persisted and outgoing values</t>
        </is>
      </c>
      <c r="G235" t="inlineStr">
        <is>
          <t>The appointment follows the confirmed business rule and reaches the courier unchanged</t>
        </is>
      </c>
      <c r="H235" t="inlineStr">
        <is>
          <t>P0</t>
        </is>
      </c>
      <c r="I235" t="inlineStr">
        <is>
          <t>Integration</t>
        </is>
      </c>
      <c r="J235" t="inlineStr">
        <is>
          <t>Automated</t>
        </is>
      </c>
      <c r="K235" t="inlineStr">
        <is>
          <t>PASS</t>
        </is>
      </c>
      <c r="L235" t="inlineStr">
        <is>
          <t>Payment.verifiedAt PINNED in MySQL, then the real ShipmentService driven directly: 16:59 WIB -&gt; 2026-09-05T12:00:00.000Z; exactly 17:00 -&gt; same; 17:01 -&gt; 2026-09-06T12:00:00.000Z; 23:59 on 31 Aug -&gt; 2026-09-01T12:00:00.000Z. Each value is both sent to the courier and stored on the shipment.</t>
        </is>
      </c>
      <c r="M235" t="inlineStr">
        <is>
          <t>backend/test/integration/courier-auto-booking.int-spec.ts on disposable MySQL 8.4 (Testcontainers); real PaymentSettlementService.settle + ShipmentService + PaxelPickupScheduler; only the courier HTTP call is stubbed, so no Paxel/JNE request leaves the process</t>
        </is>
      </c>
      <c r="N235" t="inlineStr">
        <is>
          <t>2026-09-05</t>
        </is>
      </c>
      <c r="O235" t="inlineStr">
        <is>
          <t>Pinning the timestamp is what makes the expectation an exact literal rather than a property - settle() stamps verifiedAt from the wall clock.</t>
        </is>
      </c>
    </row>
    <row r="236">
      <c r="A236" t="inlineStr">
        <is>
          <t>BOOK-014</t>
        </is>
      </c>
      <c r="B236" t="inlineStr">
        <is>
          <t>Courier Auto-Booking</t>
        </is>
      </c>
      <c r="C236" t="inlineStr">
        <is>
          <t>Shipment</t>
        </is>
      </c>
      <c r="D236" t="inlineStr">
        <is>
          <t>An explicit admin-chosen pickup time is PRESERVED</t>
        </is>
      </c>
      <c r="E236" t="inlineStr">
        <is>
          <t>Disposable MySQL 8.4 (Testcontainers) and/or pure-function harness; stubbed Paxel and JNE</t>
        </is>
      </c>
      <c r="F236" t="inlineStr">
        <is>
          <t>Drive the real resolver / settlement / shipment service and assert the persisted and outgoing values</t>
        </is>
      </c>
      <c r="G236" t="inlineStr">
        <is>
          <t>The appointment follows the confirmed business rule and reaches the courier unchanged</t>
        </is>
      </c>
      <c r="H236" t="inlineStr">
        <is>
          <t>P0</t>
        </is>
      </c>
      <c r="I236" t="inlineStr">
        <is>
          <t>Integration</t>
        </is>
      </c>
      <c r="J236" t="inlineStr">
        <is>
          <t>Automated</t>
        </is>
      </c>
      <c r="K236" t="inlineStr">
        <is>
          <t>PASS</t>
        </is>
      </c>
      <c r="L236" t="inlineStr">
        <is>
          <t>A shipment pre-loaded with 2026-08-24T03:00:00.000Z booked with exactly that instant (wire "2026-08-24 10:00:00"), never recomputed and never overwritten in metadata. Automatic scheduling is strictly the fallback.</t>
        </is>
      </c>
      <c r="M236" t="inlineStr">
        <is>
          <t>backend/test/integration/courier-auto-booking.int-spec.ts on disposable MySQL 8.4 (Testcontainers); real PaymentSettlementService.settle + ShipmentService + PaxelPickupScheduler; only the courier HTTP call is stubbed, so no Paxel/JNE request leaves the process</t>
        </is>
      </c>
      <c r="N236" t="inlineStr">
        <is>
          <t>2026-09-05</t>
        </is>
      </c>
    </row>
    <row r="237">
      <c r="A237" t="inlineStr">
        <is>
          <t>BOOK-015</t>
        </is>
      </c>
      <c r="B237" t="inlineStr">
        <is>
          <t>Courier Auto-Booking</t>
        </is>
      </c>
      <c r="C237" t="inlineStr">
        <is>
          <t>Shipment</t>
        </is>
      </c>
      <c r="D237" t="inlineStr">
        <is>
          <t>PAXEL_AUTO_PICKUP_ENABLED=false preserves the pre-3.32 behaviour exactly</t>
        </is>
      </c>
      <c r="E237" t="inlineStr">
        <is>
          <t>Disposable MySQL 8.4 (Testcontainers) and/or pure-function harness; stubbed Paxel and JNE</t>
        </is>
      </c>
      <c r="F237" t="inlineStr">
        <is>
          <t>Drive the real resolver / settlement / shipment service and assert the persisted and outgoing values</t>
        </is>
      </c>
      <c r="G237" t="inlineStr">
        <is>
          <t>The appointment follows the confirmed business rule and reaches the courier unchanged</t>
        </is>
      </c>
      <c r="H237" t="inlineStr">
        <is>
          <t>P0</t>
        </is>
      </c>
      <c r="I237" t="inlineStr">
        <is>
          <t>Integration</t>
        </is>
      </c>
      <c r="J237" t="inlineStr">
        <is>
          <t>Automated</t>
        </is>
      </c>
      <c r="K237" t="inlineStr">
        <is>
          <t>PASS</t>
        </is>
      </c>
      <c r="L237" t="inlineStr">
        <is>
          <t>With the flag off - and, separately, with no policy configured at all - the courier is not called, no slot is written, the shipment stays RATE_SELECTED (NOT FAILED), the order stays PROCESSING, no notification is produced, and createForOrder returns AWAITING_PICKUP_SCHEDULE so the reconciliation worker still skips rather than alarms.</t>
        </is>
      </c>
      <c r="M237" t="inlineStr">
        <is>
          <t>backend/test/integration/courier-auto-booking.int-spec.ts on disposable MySQL 8.4 (Testcontainers); real PaymentSettlementService.settle + ShipmentService + PaxelPickupScheduler; only the courier HTTP call is stubbed, so no Paxel/JNE request leaves the process</t>
        </is>
      </c>
      <c r="N237" t="inlineStr">
        <is>
          <t>2026-09-05</t>
        </is>
      </c>
      <c r="O237" t="inlineStr">
        <is>
          <t>requiresPickupSchedule was NOT removed; the provider still enforces the real Paxel API requirement.</t>
        </is>
      </c>
    </row>
    <row r="238">
      <c r="A238" t="inlineStr">
        <is>
          <t>BOOK-016</t>
        </is>
      </c>
      <c r="B238" t="inlineStr">
        <is>
          <t>Courier Auto-Booking</t>
        </is>
      </c>
      <c r="C238" t="inlineStr">
        <is>
          <t>Shipment</t>
        </is>
      </c>
      <c r="D238" t="inlineStr">
        <is>
          <t>A replayed settlement re-books neither courier</t>
        </is>
      </c>
      <c r="E238" t="inlineStr">
        <is>
          <t>Disposable MySQL 8.4 (Testcontainers) and/or pure-function harness; stubbed Paxel and JNE</t>
        </is>
      </c>
      <c r="F238" t="inlineStr">
        <is>
          <t>Drive the real resolver / settlement / shipment service and assert the persisted and outgoing values</t>
        </is>
      </c>
      <c r="G238" t="inlineStr">
        <is>
          <t>The appointment follows the confirmed business rule and reaches the courier unchanged</t>
        </is>
      </c>
      <c r="H238" t="inlineStr">
        <is>
          <t>P0</t>
        </is>
      </c>
      <c r="I238" t="inlineStr">
        <is>
          <t>Integration</t>
        </is>
      </c>
      <c r="J238" t="inlineStr">
        <is>
          <t>Automated</t>
        </is>
      </c>
      <c r="K238" t="inlineStr">
        <is>
          <t>PASS</t>
        </is>
      </c>
      <c r="L238" t="inlineStr">
        <is>
          <t>Run for Paxel and JNE alike: first settle SETTLED, second ALREADY_PAID, exactly one courier call and exactly one order.shipped row, AWB unchanged.</t>
        </is>
      </c>
      <c r="M238" t="inlineStr">
        <is>
          <t>backend/test/integration/courier-auto-booking.int-spec.ts on disposable MySQL 8.4 (Testcontainers); real PaymentSettlementService.settle + ShipmentService + PaxelPickupScheduler; only the courier HTTP call is stubbed, so no Paxel/JNE request leaves the process</t>
        </is>
      </c>
      <c r="N238" t="inlineStr">
        <is>
          <t>2026-09-05</t>
        </is>
      </c>
    </row>
    <row r="239">
      <c r="A239" t="inlineStr">
        <is>
          <t>BOOK-017</t>
        </is>
      </c>
      <c r="B239" t="inlineStr">
        <is>
          <t>Courier Auto-Booking</t>
        </is>
      </c>
      <c r="C239" t="inlineStr">
        <is>
          <t>Shipment</t>
        </is>
      </c>
      <c r="D239" t="inlineStr">
        <is>
          <t>A second booker after the AWB exists short-circuits</t>
        </is>
      </c>
      <c r="E239" t="inlineStr">
        <is>
          <t>Disposable MySQL 8.4 (Testcontainers) and/or pure-function harness; stubbed Paxel and JNE</t>
        </is>
      </c>
      <c r="F239" t="inlineStr">
        <is>
          <t>Drive the real resolver / settlement / shipment service and assert the persisted and outgoing values</t>
        </is>
      </c>
      <c r="G239" t="inlineStr">
        <is>
          <t>The appointment follows the confirmed business rule and reaches the courier unchanged</t>
        </is>
      </c>
      <c r="H239" t="inlineStr">
        <is>
          <t>P0</t>
        </is>
      </c>
      <c r="I239" t="inlineStr">
        <is>
          <t>Integration</t>
        </is>
      </c>
      <c r="J239" t="inlineStr">
        <is>
          <t>Automated</t>
        </is>
      </c>
      <c r="K239" t="inlineStr">
        <is>
          <t>PASS</t>
        </is>
      </c>
      <c r="L239" t="inlineStr">
        <is>
          <t>Run for Paxel and JNE alike: createForOrderSafe after a completed booking returns ok without a second courier call and without a second notification. The CAS claim before the provider call remains the primary protection.</t>
        </is>
      </c>
      <c r="M239" t="inlineStr">
        <is>
          <t>backend/test/integration/courier-auto-booking.int-spec.ts on disposable MySQL 8.4 (Testcontainers); real PaymentSettlementService.settle + ShipmentService + PaxelPickupScheduler; only the courier HTTP call is stubbed, so no Paxel/JNE request leaves the process</t>
        </is>
      </c>
      <c r="N239" t="inlineStr">
        <is>
          <t>2026-09-05</t>
        </is>
      </c>
      <c r="O239" t="inlineStr">
        <is>
          <t>Exactly-once is NOT claimed for the external courier API - the call sits outside the DB transaction, so a success followed by a crash before persistence can still leave an orphan booking. Bounded by the CAS lease and the reconciliation worker, not eliminated.</t>
        </is>
      </c>
    </row>
    <row r="240">
      <c r="A240" t="inlineStr">
        <is>
          <t>BOOK-018</t>
        </is>
      </c>
      <c r="B240" t="inlineStr">
        <is>
          <t>Courier Auto-Booking</t>
        </is>
      </c>
      <c r="C240" t="inlineStr">
        <is>
          <t>Shipment</t>
        </is>
      </c>
      <c r="D240" t="inlineStr">
        <is>
          <t>A courier failure is retryable and reuses the same appointment</t>
        </is>
      </c>
      <c r="E240" t="inlineStr">
        <is>
          <t>Disposable MySQL 8.4 (Testcontainers) and/or pure-function harness; stubbed Paxel and JNE</t>
        </is>
      </c>
      <c r="F240" t="inlineStr">
        <is>
          <t>Drive the real resolver / settlement / shipment service and assert the persisted and outgoing values</t>
        </is>
      </c>
      <c r="G240" t="inlineStr">
        <is>
          <t>The appointment follows the confirmed business rule and reaches the courier unchanged</t>
        </is>
      </c>
      <c r="H240" t="inlineStr">
        <is>
          <t>P0</t>
        </is>
      </c>
      <c r="I240" t="inlineStr">
        <is>
          <t>Integration</t>
        </is>
      </c>
      <c r="J240" t="inlineStr">
        <is>
          <t>Automated</t>
        </is>
      </c>
      <c r="K240" t="inlineStr">
        <is>
          <t>PASS</t>
        </is>
      </c>
      <c r="L240" t="inlineStr">
        <is>
          <t>Run for Paxel and JNE alike: the payment still settles (booking is best-effort, outside its transaction), the shipment becomes FAILED with the provider error retained in metadata, no false SHIPPED and no shipped WhatsApp. For Paxel the pickup slot resolved before the failed attempt SURVIVES the FAILED write, and the retry books that same instant rather than computing a new one against a later clock.</t>
        </is>
      </c>
      <c r="M240" t="inlineStr">
        <is>
          <t>backend/test/integration/courier-auto-booking.int-spec.ts on disposable MySQL 8.4 (Testcontainers); real PaymentSettlementService.settle + ShipmentService + PaxelPickupScheduler; only the courier HTTP call is stubbed, so no Paxel/JNE request leaves the process</t>
        </is>
      </c>
      <c r="N240" t="inlineStr">
        <is>
          <t>2026-09-05</t>
        </is>
      </c>
    </row>
    <row r="241">
      <c r="A241" t="inlineStr">
        <is>
          <t>BOOK-019</t>
        </is>
      </c>
      <c r="B241" t="inlineStr">
        <is>
          <t>Courier Auto-Booking</t>
        </is>
      </c>
      <c r="C241" t="inlineStr">
        <is>
          <t>Shipment</t>
        </is>
      </c>
      <c r="D241" t="inlineStr">
        <is>
          <t>The shipped notification names the courier alone</t>
        </is>
      </c>
      <c r="E241" t="inlineStr">
        <is>
          <t>Disposable MySQL 8.4 (Testcontainers) and/or pure-function harness; stubbed Paxel and JNE</t>
        </is>
      </c>
      <c r="F241" t="inlineStr">
        <is>
          <t>Drive the real resolver / settlement / shipment service and assert the persisted and outgoing values</t>
        </is>
      </c>
      <c r="G241" t="inlineStr">
        <is>
          <t>The appointment follows the confirmed business rule and reaches the courier unchanged</t>
        </is>
      </c>
      <c r="H241" t="inlineStr">
        <is>
          <t>P0</t>
        </is>
      </c>
      <c r="I241" t="inlineStr">
        <is>
          <t>Integration</t>
        </is>
      </c>
      <c r="J241" t="inlineStr">
        <is>
          <t>Automated</t>
        </is>
      </c>
      <c r="K241" t="inlineStr">
        <is>
          <t>PASS</t>
        </is>
      </c>
      <c r="L241" t="inlineStr">
        <is>
          <t>order.shipped carries shippingProvider PAXEL / JNE and the real AWB, addressed to the customer phone, exactly one row per booking. The rendered {{3}} contract (carrier only, never the service code or display label) is pinned separately by WA-E2E-003/004.</t>
        </is>
      </c>
      <c r="M241" t="inlineStr">
        <is>
          <t>backend/test/integration/courier-auto-booking.int-spec.ts on disposable MySQL 8.4 (Testcontainers); real PaymentSettlementService.settle + ShipmentService + PaxelPickupScheduler; only the courier HTTP call is stubbed, so no Paxel/JNE request leaves the process</t>
        </is>
      </c>
      <c r="N241" t="inlineStr">
        <is>
          <t>2026-09-05</t>
        </is>
      </c>
    </row>
    <row r="242">
      <c r="A242" t="inlineStr">
        <is>
          <t>RT-001</t>
        </is>
      </c>
      <c r="B242" t="inlineStr">
        <is>
          <t>Runtime Config</t>
        </is>
      </c>
      <c r="C242" t="inlineStr">
        <is>
          <t>Shipment</t>
        </is>
      </c>
      <c r="D242" t="inlineStr">
        <is>
          <t>Backend runtime sees the four automatic-pickup variables</t>
        </is>
      </c>
      <c r="E242" t="inlineStr">
        <is>
          <t>Disposable MySQL 8.4 (Testcontainers) and/or an isolated config process; stubbed Paxel/JNE/Qontak transports</t>
        </is>
      </c>
      <c r="F242" t="inlineStr">
        <is>
          <t>Drive the real runtime stack and assert the persisted state and the outgoing wire payload</t>
        </is>
      </c>
      <c r="G242" t="inlineStr">
        <is>
          <t>Automatic booking completes and the courier receives exactly the configured appointment</t>
        </is>
      </c>
      <c r="H242" t="inlineStr">
        <is>
          <t>P0</t>
        </is>
      </c>
      <c r="I242" t="inlineStr">
        <is>
          <t>Unit</t>
        </is>
      </c>
      <c r="J242" t="inlineStr">
        <is>
          <t>Automated</t>
        </is>
      </c>
      <c r="K242" t="inlineStr">
        <is>
          <t>PASS</t>
        </is>
      </c>
      <c r="L242" t="inlineStr">
        <is>
          <t>backend/.env carries PAXEL_AUTO_PICKUP_ENABLED=true, PAXEL_PICKUP_TIMEZONE=Asia/Jakarta, PAXEL_PICKUP_CUTOFF_TIME=17:00, PAXEL_PICKUP_DEFAULT_TIME=19:00. loadShippingConfig resolves them into paxel.autoPickup exactly; PAXEL_ENABLED=true and JNE_ENABLED=true with JNE_ENVIRONMENT=sandbox; every Paxel and JNE credential is present (checked as booleans, never printed).</t>
        </is>
      </c>
      <c r="M242" t="inlineStr">
        <is>
          <t>Real backend/.env read through the REAL loadShippingConfig + assertShippingConfigured + validateEnv, in an isolated process with no DB/AMQP/HTTP connection</t>
        </is>
      </c>
      <c r="N242" t="inlineStr">
        <is>
          <t>2026-09-05</t>
        </is>
      </c>
    </row>
    <row r="243">
      <c r="A243" t="inlineStr">
        <is>
          <t>RT-002</t>
        </is>
      </c>
      <c r="B243" t="inlineStr">
        <is>
          <t>Runtime Config</t>
        </is>
      </c>
      <c r="C243" t="inlineStr">
        <is>
          <t>Shipment</t>
        </is>
      </c>
      <c r="D243" t="inlineStr">
        <is>
          <t>Both boot guards accept the real .env</t>
        </is>
      </c>
      <c r="E243" t="inlineStr">
        <is>
          <t>Disposable MySQL 8.4 (Testcontainers) and/or an isolated config process; stubbed Paxel/JNE/Qontak transports</t>
        </is>
      </c>
      <c r="F243" t="inlineStr">
        <is>
          <t>Drive the real runtime stack and assert the persisted state and the outgoing wire payload</t>
        </is>
      </c>
      <c r="G243" t="inlineStr">
        <is>
          <t>Automatic booking completes and the courier receives exactly the configured appointment</t>
        </is>
      </c>
      <c r="H243" t="inlineStr">
        <is>
          <t>P0</t>
        </is>
      </c>
      <c r="I243" t="inlineStr">
        <is>
          <t>Unit</t>
        </is>
      </c>
      <c r="J243" t="inlineStr">
        <is>
          <t>Automated</t>
        </is>
      </c>
      <c r="K243" t="inlineStr">
        <is>
          <t>PASS</t>
        </is>
      </c>
      <c r="L243" t="inlineStr">
        <is>
          <t>assertShippingConfigured PASS and validateEnv PASS against the developer's actual .env. The application would boot with this configuration; no default was silently substituted for any of the four values.</t>
        </is>
      </c>
      <c r="M243" t="inlineStr">
        <is>
          <t>Real backend/.env read through the REAL loadShippingConfig + assertShippingConfigured + validateEnv, in an isolated process with no DB/AMQP/HTTP connection</t>
        </is>
      </c>
      <c r="N243" t="inlineStr">
        <is>
          <t>2026-09-05</t>
        </is>
      </c>
    </row>
    <row r="244">
      <c r="A244" t="inlineStr">
        <is>
          <t>RT-003</t>
        </is>
      </c>
      <c r="B244" t="inlineStr">
        <is>
          <t>Runtime Config</t>
        </is>
      </c>
      <c r="C244" t="inlineStr">
        <is>
          <t>Shipment</t>
        </is>
      </c>
      <c r="D244" t="inlineStr">
        <is>
          <t>The real config produces the stated cutoff matrix</t>
        </is>
      </c>
      <c r="E244" t="inlineStr">
        <is>
          <t>Disposable MySQL 8.4 (Testcontainers) and/or an isolated config process; stubbed Paxel/JNE/Qontak transports</t>
        </is>
      </c>
      <c r="F244" t="inlineStr">
        <is>
          <t>Drive the real runtime stack and assert the persisted state and the outgoing wire payload</t>
        </is>
      </c>
      <c r="G244" t="inlineStr">
        <is>
          <t>Automatic booking completes and the courier receives exactly the configured appointment</t>
        </is>
      </c>
      <c r="H244" t="inlineStr">
        <is>
          <t>P0</t>
        </is>
      </c>
      <c r="I244" t="inlineStr">
        <is>
          <t>Unit</t>
        </is>
      </c>
      <c r="J244" t="inlineStr">
        <is>
          <t>Automated</t>
        </is>
      </c>
      <c r="K244" t="inlineStr">
        <is>
          <t>PASS</t>
        </is>
      </c>
      <c r="L244" t="inlineStr">
        <is>
          <t>PaxelPickupScheduler built from the real .env resolved 08:00/16:59/17:00 WIB to 2026-09-05T12:00:00.000Z (wire "2026-09-05 19:00:00") and 17:01/22:00 WIB to 2026-09-06T12:00:00.000Z (wire "2026-09-06 19:00:00").</t>
        </is>
      </c>
      <c r="M244" t="inlineStr">
        <is>
          <t>Real backend/.env read through the REAL loadShippingConfig + assertShippingConfigured + validateEnv, in an isolated process with no DB/AMQP/HTTP connection</t>
        </is>
      </c>
      <c r="N244" t="inlineStr">
        <is>
          <t>2026-09-05</t>
        </is>
      </c>
    </row>
    <row r="245">
      <c r="A245" t="inlineStr">
        <is>
          <t>RT-004</t>
        </is>
      </c>
      <c r="B245" t="inlineStr">
        <is>
          <t>Runtime Config</t>
        </is>
      </c>
      <c r="C245" t="inlineStr">
        <is>
          <t>Shipment</t>
        </is>
      </c>
      <c r="D245" t="inlineStr">
        <is>
          <t>The process timezone does not change the runtime answer</t>
        </is>
      </c>
      <c r="E245" t="inlineStr">
        <is>
          <t>Disposable MySQL 8.4 (Testcontainers) and/or an isolated config process; stubbed Paxel/JNE/Qontak transports</t>
        </is>
      </c>
      <c r="F245" t="inlineStr">
        <is>
          <t>Drive the real runtime stack and assert the persisted state and the outgoing wire payload</t>
        </is>
      </c>
      <c r="G245" t="inlineStr">
        <is>
          <t>Automatic booking completes and the courier receives exactly the configured appointment</t>
        </is>
      </c>
      <c r="H245" t="inlineStr">
        <is>
          <t>P0</t>
        </is>
      </c>
      <c r="I245" t="inlineStr">
        <is>
          <t>Unit</t>
        </is>
      </c>
      <c r="J245" t="inlineStr">
        <is>
          <t>Automated</t>
        </is>
      </c>
      <c r="K245" t="inlineStr">
        <is>
          <t>PASS</t>
        </is>
      </c>
      <c r="L245" t="inlineStr">
        <is>
          <t>The same script re-run with TZ=UTC produced byte-identical ISO instants and wire strings to the TZ=Asia/Jakarta run. Production containers run UTC; developer machines run Jakarta.</t>
        </is>
      </c>
      <c r="M245" t="inlineStr">
        <is>
          <t>Real backend/.env read through the REAL loadShippingConfig + assertShippingConfigured + validateEnv, in an isolated process with no DB/AMQP/HTTP connection</t>
        </is>
      </c>
      <c r="N245" t="inlineStr">
        <is>
          <t>2026-09-05</t>
        </is>
      </c>
    </row>
    <row r="246">
      <c r="A246" t="inlineStr">
        <is>
          <t>RT-005</t>
        </is>
      </c>
      <c r="B246" t="inlineStr">
        <is>
          <t>Runtime Booking</t>
        </is>
      </c>
      <c r="C246" t="inlineStr">
        <is>
          <t>Shipment</t>
        </is>
      </c>
      <c r="D246" t="inlineStr">
        <is>
          <t>BANK_TRANSFER -&gt; PAXEL books through the REAL provider</t>
        </is>
      </c>
      <c r="E246" t="inlineStr">
        <is>
          <t>Disposable MySQL 8.4 (Testcontainers) and/or an isolated config process; stubbed Paxel/JNE/Qontak transports</t>
        </is>
      </c>
      <c r="F246" t="inlineStr">
        <is>
          <t>Drive the real runtime stack and assert the persisted state and the outgoing wire payload</t>
        </is>
      </c>
      <c r="G246" t="inlineStr">
        <is>
          <t>Automatic booking completes and the courier receives exactly the configured appointment</t>
        </is>
      </c>
      <c r="H246" t="inlineStr">
        <is>
          <t>P0</t>
        </is>
      </c>
      <c r="I246" t="inlineStr">
        <is>
          <t>Integration</t>
        </is>
      </c>
      <c r="J246" t="inlineStr">
        <is>
          <t>Automated</t>
        </is>
      </c>
      <c r="K246" t="inlineStr">
        <is>
          <t>PASS</t>
        </is>
      </c>
      <c r="L246" t="inlineStr">
        <is>
          <t>Real settle(): payment PAID, OrderEvent chain exactly [PROCESSING, SHIPPED], order SHIPPED. The real Paxel payload builder produced ONE request to a .invalid host carrying invoice_number = the order number, service_type NEXTDAY and pickup_datetime = "&lt;verified date&gt; 19:00:00" (the date computed independently of the resolver from the persisted Payment.verifiedAt). AWB PXL-RT-0001 persisted as trackingNumber, providerShipmentId and Order.trackingNumber; shipment CREATED. JNE was never touched.</t>
        </is>
      </c>
      <c r="M246" t="inlineStr">
        <is>
          <t>backend/test/integration/runtime-booking-verification.int-spec.ts on disposable MySQL 8.4 (Testcontainers); REAL PaxelShipmentProvider, REAL JneShipmentProvider, real ShipmentProviderFactory, real PaxelPickupScheduler, real ShipmentService, real PaymentSettlementService, real TemplateRegistry/NotificationMessageBuilder/QontakWhatsAppProvider — only the two HTTP transports are stubbed</t>
        </is>
      </c>
      <c r="N246" t="inlineStr">
        <is>
          <t>2026-09-05</t>
        </is>
      </c>
    </row>
    <row r="247">
      <c r="A247" t="inlineStr">
        <is>
          <t>RT-006</t>
        </is>
      </c>
      <c r="B247" t="inlineStr">
        <is>
          <t>Runtime Booking</t>
        </is>
      </c>
      <c r="C247" t="inlineStr">
        <is>
          <t>Shipment</t>
        </is>
      </c>
      <c r="D247" t="inlineStr">
        <is>
          <t>QRIS -&gt; PAXEL books through the REAL provider</t>
        </is>
      </c>
      <c r="E247" t="inlineStr">
        <is>
          <t>Disposable MySQL 8.4 (Testcontainers) and/or an isolated config process; stubbed Paxel/JNE/Qontak transports</t>
        </is>
      </c>
      <c r="F247" t="inlineStr">
        <is>
          <t>Drive the real runtime stack and assert the persisted state and the outgoing wire payload</t>
        </is>
      </c>
      <c r="G247" t="inlineStr">
        <is>
          <t>Automatic booking completes and the courier receives exactly the configured appointment</t>
        </is>
      </c>
      <c r="H247" t="inlineStr">
        <is>
          <t>P0</t>
        </is>
      </c>
      <c r="I247" t="inlineStr">
        <is>
          <t>Integration</t>
        </is>
      </c>
      <c r="J247" t="inlineStr">
        <is>
          <t>Automated</t>
        </is>
      </c>
      <c r="K247" t="inlineStr">
        <is>
          <t>PASS</t>
        </is>
      </c>
      <c r="L247" t="inlineStr">
        <is>
          <t>Identical chain, AWB PXL-RT-0002. No manual Shipping-page action was involved anywhere — booking is triggered by settlement only.</t>
        </is>
      </c>
      <c r="M247" t="inlineStr">
        <is>
          <t>backend/test/integration/runtime-booking-verification.int-spec.ts on disposable MySQL 8.4 (Testcontainers); REAL PaxelShipmentProvider, REAL JneShipmentProvider, real ShipmentProviderFactory, real PaxelPickupScheduler, real ShipmentService, real PaymentSettlementService, real TemplateRegistry/NotificationMessageBuilder/QontakWhatsAppProvider — only the two HTTP transports are stubbed</t>
        </is>
      </c>
      <c r="N247" t="inlineStr">
        <is>
          <t>2026-09-05</t>
        </is>
      </c>
    </row>
    <row r="248">
      <c r="A248" t="inlineStr">
        <is>
          <t>RT-007</t>
        </is>
      </c>
      <c r="B248" t="inlineStr">
        <is>
          <t>Runtime Booking</t>
        </is>
      </c>
      <c r="C248" t="inlineStr">
        <is>
          <t>Shipment</t>
        </is>
      </c>
      <c r="D248" t="inlineStr">
        <is>
          <t>BANK_TRANSFER -&gt; JNE books through the REAL provider</t>
        </is>
      </c>
      <c r="E248" t="inlineStr">
        <is>
          <t>Disposable MySQL 8.4 (Testcontainers) and/or an isolated config process; stubbed Paxel/JNE/Qontak transports</t>
        </is>
      </c>
      <c r="F248" t="inlineStr">
        <is>
          <t>Drive the real runtime stack and assert the persisted state and the outgoing wire payload</t>
        </is>
      </c>
      <c r="G248" t="inlineStr">
        <is>
          <t>Automatic booking completes and the courier receives exactly the configured appointment</t>
        </is>
      </c>
      <c r="H248" t="inlineStr">
        <is>
          <t>P0</t>
        </is>
      </c>
      <c r="I248" t="inlineStr">
        <is>
          <t>Integration</t>
        </is>
      </c>
      <c r="J248" t="inlineStr">
        <is>
          <t>Automated</t>
        </is>
      </c>
      <c r="K248" t="inlineStr">
        <is>
          <t>PASS</t>
        </is>
      </c>
      <c r="L248" t="inlineStr">
        <is>
          <t>The real JNE payload builder produced ONE form-encoded request carrying order_no = the order number, service_code REG and origin_code from configuration, and NO pickup_datetime. Cnote JNE-RT-0001 persisted; shipment CREATED; order SHIPPED. No hand-entered airwaybill anywhere.</t>
        </is>
      </c>
      <c r="M248" t="inlineStr">
        <is>
          <t>backend/test/integration/runtime-booking-verification.int-spec.ts on disposable MySQL 8.4 (Testcontainers); REAL PaxelShipmentProvider, REAL JneShipmentProvider, real ShipmentProviderFactory, real PaxelPickupScheduler, real ShipmentService, real PaymentSettlementService, real TemplateRegistry/NotificationMessageBuilder/QontakWhatsAppProvider — only the two HTTP transports are stubbed</t>
        </is>
      </c>
      <c r="N248" t="inlineStr">
        <is>
          <t>2026-09-05</t>
        </is>
      </c>
    </row>
    <row r="249">
      <c r="A249" t="inlineStr">
        <is>
          <t>RT-008</t>
        </is>
      </c>
      <c r="B249" t="inlineStr">
        <is>
          <t>Runtime Booking</t>
        </is>
      </c>
      <c r="C249" t="inlineStr">
        <is>
          <t>Shipment</t>
        </is>
      </c>
      <c r="D249" t="inlineStr">
        <is>
          <t>QRIS -&gt; JNE books through the REAL provider</t>
        </is>
      </c>
      <c r="E249" t="inlineStr">
        <is>
          <t>Disposable MySQL 8.4 (Testcontainers) and/or an isolated config process; stubbed Paxel/JNE/Qontak transports</t>
        </is>
      </c>
      <c r="F249" t="inlineStr">
        <is>
          <t>Drive the real runtime stack and assert the persisted state and the outgoing wire payload</t>
        </is>
      </c>
      <c r="G249" t="inlineStr">
        <is>
          <t>Automatic booking completes and the courier receives exactly the configured appointment</t>
        </is>
      </c>
      <c r="H249" t="inlineStr">
        <is>
          <t>P0</t>
        </is>
      </c>
      <c r="I249" t="inlineStr">
        <is>
          <t>Integration</t>
        </is>
      </c>
      <c r="J249" t="inlineStr">
        <is>
          <t>Automated</t>
        </is>
      </c>
      <c r="K249" t="inlineStr">
        <is>
          <t>PASS</t>
        </is>
      </c>
      <c r="L249" t="inlineStr">
        <is>
          <t>Identical chain, cnote JNE-RT-0002.</t>
        </is>
      </c>
      <c r="M249" t="inlineStr">
        <is>
          <t>backend/test/integration/runtime-booking-verification.int-spec.ts on disposable MySQL 8.4 (Testcontainers); REAL PaxelShipmentProvider, REAL JneShipmentProvider, real ShipmentProviderFactory, real PaxelPickupScheduler, real ShipmentService, real PaymentSettlementService, real TemplateRegistry/NotificationMessageBuilder/QontakWhatsAppProvider — only the two HTTP transports are stubbed</t>
        </is>
      </c>
      <c r="N249" t="inlineStr">
        <is>
          <t>2026-09-05</t>
        </is>
      </c>
    </row>
    <row r="250">
      <c r="A250" t="inlineStr">
        <is>
          <t>RT-009</t>
        </is>
      </c>
      <c r="B250" t="inlineStr">
        <is>
          <t>Runtime Booking</t>
        </is>
      </c>
      <c r="C250" t="inlineStr">
        <is>
          <t>Shipment</t>
        </is>
      </c>
      <c r="D250" t="inlineStr">
        <is>
          <t>The exact pickup_datetime Paxel would receive, both sides of the cutoff</t>
        </is>
      </c>
      <c r="E250" t="inlineStr">
        <is>
          <t>Disposable MySQL 8.4 (Testcontainers) and/or an isolated config process; stubbed Paxel/JNE/Qontak transports</t>
        </is>
      </c>
      <c r="F250" t="inlineStr">
        <is>
          <t>Drive the real runtime stack and assert the persisted state and the outgoing wire payload</t>
        </is>
      </c>
      <c r="G250" t="inlineStr">
        <is>
          <t>Automatic booking completes and the courier receives exactly the configured appointment</t>
        </is>
      </c>
      <c r="H250" t="inlineStr">
        <is>
          <t>P0</t>
        </is>
      </c>
      <c r="I250" t="inlineStr">
        <is>
          <t>Integration</t>
        </is>
      </c>
      <c r="J250" t="inlineStr">
        <is>
          <t>Automated</t>
        </is>
      </c>
      <c r="K250" t="inlineStr">
        <is>
          <t>PASS</t>
        </is>
      </c>
      <c r="L250" t="inlineStr">
        <is>
          <t>Payment.verifiedAt PINNED in MySQL, then the real ShipmentService driven directly and the literal wire string asserted: 08:00 -&gt; "2026-09-05 19:00:00"; 16:59 -&gt; same; 17:00 -&gt; same (cutoff inclusive); 17:01 -&gt; "2026-09-06 19:00:00"; 22:00 -&gt; same. No waiting on the real clock.</t>
        </is>
      </c>
      <c r="M250" t="inlineStr">
        <is>
          <t>backend/test/integration/runtime-booking-verification.int-spec.ts on disposable MySQL 8.4 (Testcontainers); REAL PaxelShipmentProvider, REAL JneShipmentProvider, real ShipmentProviderFactory, real PaxelPickupScheduler, real ShipmentService, real PaymentSettlementService, real TemplateRegistry/NotificationMessageBuilder/QontakWhatsAppProvider — only the two HTTP transports are stubbed</t>
        </is>
      </c>
      <c r="N250" t="inlineStr">
        <is>
          <t>2026-09-05</t>
        </is>
      </c>
      <c r="O250" t="inlineStr">
        <is>
          <t>This is the string on the wire, not a domain value a stub happened to receive — the 3.32 spec used stub providers, this drives the real payload builder.</t>
        </is>
      </c>
    </row>
    <row r="251">
      <c r="A251" t="inlineStr">
        <is>
          <t>RT-010</t>
        </is>
      </c>
      <c r="B251" t="inlineStr">
        <is>
          <t>Runtime Booking</t>
        </is>
      </c>
      <c r="C251" t="inlineStr">
        <is>
          <t>Shipment</t>
        </is>
      </c>
      <c r="D251" t="inlineStr">
        <is>
          <t>An explicit pickup time reaches Paxel verbatim</t>
        </is>
      </c>
      <c r="E251" t="inlineStr">
        <is>
          <t>Disposable MySQL 8.4 (Testcontainers) and/or an isolated config process; stubbed Paxel/JNE/Qontak transports</t>
        </is>
      </c>
      <c r="F251" t="inlineStr">
        <is>
          <t>Drive the real runtime stack and assert the persisted state and the outgoing wire payload</t>
        </is>
      </c>
      <c r="G251" t="inlineStr">
        <is>
          <t>Automatic booking completes and the courier receives exactly the configured appointment</t>
        </is>
      </c>
      <c r="H251" t="inlineStr">
        <is>
          <t>P0</t>
        </is>
      </c>
      <c r="I251" t="inlineStr">
        <is>
          <t>Integration</t>
        </is>
      </c>
      <c r="J251" t="inlineStr">
        <is>
          <t>Automated</t>
        </is>
      </c>
      <c r="K251" t="inlineStr">
        <is>
          <t>PASS</t>
        </is>
      </c>
      <c r="L251" t="inlineStr">
        <is>
          <t>A shipment pre-loaded with 2026-08-24T03:00:00.000Z produced pickup_datetime "2026-08-24 10:00:00" on the wire, the metadata was not overwritten, the booking succeeded, the order reached SHIPPED and exactly one notification was produced.</t>
        </is>
      </c>
      <c r="M251" t="inlineStr">
        <is>
          <t>backend/test/integration/runtime-booking-verification.int-spec.ts on disposable MySQL 8.4 (Testcontainers); REAL PaxelShipmentProvider, REAL JneShipmentProvider, real ShipmentProviderFactory, real PaxelPickupScheduler, real ShipmentService, real PaymentSettlementService, real TemplateRegistry/NotificationMessageBuilder/QontakWhatsAppProvider — only the two HTTP transports are stubbed</t>
        </is>
      </c>
      <c r="N251" t="inlineStr">
        <is>
          <t>2026-09-05</t>
        </is>
      </c>
    </row>
    <row r="252">
      <c r="A252" t="inlineStr">
        <is>
          <t>RT-011</t>
        </is>
      </c>
      <c r="B252" t="inlineStr">
        <is>
          <t>Runtime Booking</t>
        </is>
      </c>
      <c r="C252" t="inlineStr">
        <is>
          <t>Shipment</t>
        </is>
      </c>
      <c r="D252" t="inlineStr">
        <is>
          <t>Courier failure is safe and the retry books once</t>
        </is>
      </c>
      <c r="E252" t="inlineStr">
        <is>
          <t>Disposable MySQL 8.4 (Testcontainers) and/or an isolated config process; stubbed Paxel/JNE/Qontak transports</t>
        </is>
      </c>
      <c r="F252" t="inlineStr">
        <is>
          <t>Drive the real runtime stack and assert the persisted state and the outgoing wire payload</t>
        </is>
      </c>
      <c r="G252" t="inlineStr">
        <is>
          <t>Automatic booking completes and the courier receives exactly the configured appointment</t>
        </is>
      </c>
      <c r="H252" t="inlineStr">
        <is>
          <t>P0</t>
        </is>
      </c>
      <c r="I252" t="inlineStr">
        <is>
          <t>Integration</t>
        </is>
      </c>
      <c r="J252" t="inlineStr">
        <is>
          <t>Automated</t>
        </is>
      </c>
      <c r="K252" t="inlineStr">
        <is>
          <t>PASS</t>
        </is>
      </c>
      <c r="L252" t="inlineStr">
        <is>
          <t>Run for Paxel and JNE alike with the transport returning 500: payment stays PAID, shipment FAILED, tracking null, order stays PROCESSING (never a false SHIPPED) and zero notifications. A retry through the real provider then books, reaches SHIPPED and produces exactly one notification.</t>
        </is>
      </c>
      <c r="M252" t="inlineStr">
        <is>
          <t>backend/test/integration/runtime-booking-verification.int-spec.ts on disposable MySQL 8.4 (Testcontainers); REAL PaxelShipmentProvider, REAL JneShipmentProvider, real ShipmentProviderFactory, real PaxelPickupScheduler, real ShipmentService, real PaymentSettlementService, real TemplateRegistry/NotificationMessageBuilder/QontakWhatsAppProvider — only the two HTTP transports are stubbed</t>
        </is>
      </c>
      <c r="N252" t="inlineStr">
        <is>
          <t>2026-09-05</t>
        </is>
      </c>
    </row>
    <row r="253">
      <c r="A253" t="inlineStr">
        <is>
          <t>RT-012</t>
        </is>
      </c>
      <c r="B253" t="inlineStr">
        <is>
          <t>Runtime Booking</t>
        </is>
      </c>
      <c r="C253" t="inlineStr">
        <is>
          <t>Shipment</t>
        </is>
      </c>
      <c r="D253" t="inlineStr">
        <is>
          <t>Duplicate settlement and concurrent booking produce one courier request</t>
        </is>
      </c>
      <c r="E253" t="inlineStr">
        <is>
          <t>Disposable MySQL 8.4 (Testcontainers) and/or an isolated config process; stubbed Paxel/JNE/Qontak transports</t>
        </is>
      </c>
      <c r="F253" t="inlineStr">
        <is>
          <t>Drive the real runtime stack and assert the persisted state and the outgoing wire payload</t>
        </is>
      </c>
      <c r="G253" t="inlineStr">
        <is>
          <t>Automatic booking completes and the courier receives exactly the configured appointment</t>
        </is>
      </c>
      <c r="H253" t="inlineStr">
        <is>
          <t>P0</t>
        </is>
      </c>
      <c r="I253" t="inlineStr">
        <is>
          <t>Integration</t>
        </is>
      </c>
      <c r="J253" t="inlineStr">
        <is>
          <t>Automated</t>
        </is>
      </c>
      <c r="K253" t="inlineStr">
        <is>
          <t>PASS</t>
        </is>
      </c>
      <c r="L253" t="inlineStr">
        <is>
          <t>Run for Paxel and JNE alike: replayed settle() returns ALREADY_PAID with one courier request and one notification; three concurrent createForOrderSafe calls after settlement still leave exactly one courier request, one AWB and one notification.</t>
        </is>
      </c>
      <c r="M253" t="inlineStr">
        <is>
          <t>backend/test/integration/runtime-booking-verification.int-spec.ts on disposable MySQL 8.4 (Testcontainers); REAL PaxelShipmentProvider, REAL JneShipmentProvider, real ShipmentProviderFactory, real PaxelPickupScheduler, real ShipmentService, real PaymentSettlementService, real TemplateRegistry/NotificationMessageBuilder/QontakWhatsAppProvider — only the two HTTP transports are stubbed</t>
        </is>
      </c>
      <c r="N253" t="inlineStr">
        <is>
          <t>2026-09-05</t>
        </is>
      </c>
      <c r="O253" t="inlineStr">
        <is>
          <t>Exactly-once is NOT claimed against the external courier API — the call sits outside the DB transaction.</t>
        </is>
      </c>
    </row>
    <row r="254">
      <c r="A254" t="inlineStr">
        <is>
          <t>RT-013</t>
        </is>
      </c>
      <c r="B254" t="inlineStr">
        <is>
          <t>Runtime Booking</t>
        </is>
      </c>
      <c r="C254" t="inlineStr">
        <is>
          <t>Shipment</t>
        </is>
      </c>
      <c r="D254" t="inlineStr">
        <is>
          <t>The shipped WhatsApp payload rendered by the real Qontak stack</t>
        </is>
      </c>
      <c r="E254" t="inlineStr">
        <is>
          <t>Disposable MySQL 8.4 (Testcontainers) and/or an isolated config process; stubbed Paxel/JNE/Qontak transports</t>
        </is>
      </c>
      <c r="F254" t="inlineStr">
        <is>
          <t>Drive the real runtime stack and assert the persisted state and the outgoing wire payload</t>
        </is>
      </c>
      <c r="G254" t="inlineStr">
        <is>
          <t>Automatic booking completes and the courier receives exactly the configured appointment</t>
        </is>
      </c>
      <c r="H254" t="inlineStr">
        <is>
          <t>P0</t>
        </is>
      </c>
      <c r="I254" t="inlineStr">
        <is>
          <t>Integration</t>
        </is>
      </c>
      <c r="J254" t="inlineStr">
        <is>
          <t>Automated</t>
        </is>
      </c>
      <c r="K254" t="inlineStr">
        <is>
          <t>PASS</t>
        </is>
      </c>
      <c r="L254" t="inlineStr">
        <is>
          <t>The persisted NotificationOutbox row was rendered through the real NotificationMessageBuilder, TemplateRegistry and QontakWhatsAppProvider. message_template_id = QONTAK_SHIPPED_TEMPLATE_ID and the body is exactly four params: customer_name, order_no, courier ("PAXEL" or "JNE"), tracking (the real AWB). Asserted that neither the service code nor its display label appears anywhere in the payload.</t>
        </is>
      </c>
      <c r="M254" t="inlineStr">
        <is>
          <t>backend/test/integration/runtime-booking-verification.int-spec.ts on disposable MySQL 8.4 (Testcontainers); REAL PaxelShipmentProvider, REAL JneShipmentProvider, real ShipmentProviderFactory, real PaxelPickupScheduler, real ShipmentService, real PaymentSettlementService, real TemplateRegistry/NotificationMessageBuilder/QontakWhatsAppProvider — only the two HTTP transports are stubbed</t>
        </is>
      </c>
      <c r="N254" t="inlineStr">
        <is>
          <t>2026-09-05</t>
        </is>
      </c>
      <c r="O254" t="inlineStr">
        <is>
          <t>Qontak's body shape is {key, value: &lt;variable name&gt;, value_text: &lt;content&gt;} — verified against the real provider rather than assumed.</t>
        </is>
      </c>
    </row>
    <row r="255">
      <c r="A255" t="inlineStr">
        <is>
          <t>RT-014</t>
        </is>
      </c>
      <c r="B255" t="inlineStr">
        <is>
          <t>Runtime Booking</t>
        </is>
      </c>
      <c r="C255" t="inlineStr">
        <is>
          <t>Shipment</t>
        </is>
      </c>
      <c r="D255" t="inlineStr">
        <is>
          <t>PAXEL_AUTO_PICKUP_ENABLED=false still falls back cleanly at runtime</t>
        </is>
      </c>
      <c r="E255" t="inlineStr">
        <is>
          <t>Disposable MySQL 8.4 (Testcontainers) and/or an isolated config process; stubbed Paxel/JNE/Qontak transports</t>
        </is>
      </c>
      <c r="F255" t="inlineStr">
        <is>
          <t>Drive the real runtime stack and assert the persisted state and the outgoing wire payload</t>
        </is>
      </c>
      <c r="G255" t="inlineStr">
        <is>
          <t>Automatic booking completes and the courier receives exactly the configured appointment</t>
        </is>
      </c>
      <c r="H255" t="inlineStr">
        <is>
          <t>P1</t>
        </is>
      </c>
      <c r="I255" t="inlineStr">
        <is>
          <t>Integration</t>
        </is>
      </c>
      <c r="J255" t="inlineStr">
        <is>
          <t>Automated</t>
        </is>
      </c>
      <c r="K255" t="inlineStr">
        <is>
          <t>PASS</t>
        </is>
      </c>
      <c r="L255" t="inlineStr">
        <is>
          <t>With the flag off the real Paxel provider was never called, no pickup slot was written, the shipment stayed RATE_SELECTED (not FAILED), the order stayed PROCESSING and no notification was produced.</t>
        </is>
      </c>
      <c r="M255" t="inlineStr">
        <is>
          <t>backend/test/integration/runtime-booking-verification.int-spec.ts on disposable MySQL 8.4 (Testcontainers); REAL PaxelShipmentProvider, REAL JneShipmentProvider, real ShipmentProviderFactory, real PaxelPickupScheduler, real ShipmentService, real PaymentSettlementService, real TemplateRegistry/NotificationMessageBuilder/QontakWhatsAppProvider — only the two HTTP transports are stubbed</t>
        </is>
      </c>
      <c r="N255" t="inlineStr">
        <is>
          <t>2026-09-05</t>
        </is>
      </c>
    </row>
  </sheetData>
  <autoFilter ref="A1:O31"/>
  <dataValidations count="1">
    <dataValidation sqref="K2:K31" showDropDown="0" showInputMessage="0" showErrorMessage="0" allowBlank="0" type="list">
      <formula1>"NOT_RUN,PASS,FAIL,BLOCKED,SKIPPED"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25" customWidth="1" min="2" max="2"/>
  </cols>
  <sheetData>
    <row r="1">
      <c r="A1" t="inlineStr">
        <is>
          <t>Metric</t>
        </is>
      </c>
      <c r="B1" t="inlineStr">
        <is>
          <t>Value</t>
        </is>
      </c>
    </row>
    <row r="2">
      <c r="A2" t="inlineStr">
        <is>
          <t>Total</t>
        </is>
      </c>
      <c r="B2">
        <f>COUNTA('Test Cases'!A2:A255)</f>
        <v/>
      </c>
    </row>
    <row r="3">
      <c r="A3" t="inlineStr">
        <is>
          <t>PASS</t>
        </is>
      </c>
      <c r="B3">
        <f>COUNTIF('Test Cases'!K2:K255,"PASS")</f>
        <v/>
      </c>
    </row>
    <row r="4">
      <c r="A4" t="inlineStr">
        <is>
          <t>FAIL</t>
        </is>
      </c>
      <c r="B4">
        <f>COUNTIF('Test Cases'!K2:K255,"FAIL")</f>
        <v/>
      </c>
    </row>
    <row r="5">
      <c r="A5" t="inlineStr">
        <is>
          <t>BLOCKED</t>
        </is>
      </c>
      <c r="B5">
        <f>COUNTIF('Test Cases'!K2:K255,"BLOCKED")</f>
        <v/>
      </c>
    </row>
    <row r="6">
      <c r="A6" t="inlineStr">
        <is>
          <t>SKIPPED</t>
        </is>
      </c>
      <c r="B6">
        <f>COUNTIF('Test Cases'!K2:K255,"SKIPPED")</f>
        <v/>
      </c>
    </row>
    <row r="7">
      <c r="A7" t="inlineStr">
        <is>
          <t>NOT_RUN</t>
        </is>
      </c>
      <c r="B7">
        <f>COUNTIF('Test Cases'!K2:K255,"NOT_RUN")</f>
        <v/>
      </c>
    </row>
    <row r="8">
      <c r="A8" t="inlineStr">
        <is>
          <t>Pass Rate</t>
        </is>
      </c>
      <c r="B8" s="3">
        <f>IFERROR(B3/(B3+B4),0)</f>
        <v/>
      </c>
    </row>
    <row r="9">
      <c r="A9" t="inlineStr">
        <is>
          <t>AUDIT_ONLY</t>
        </is>
      </c>
      <c r="B9">
        <f>COUNTIF('Test Cases'!K2:K255,"AUDIT_ONLY")</f>
        <v/>
      </c>
    </row>
    <row r="10">
      <c r="A10" t="inlineStr">
        <is>
          <t>Usage</t>
        </is>
      </c>
      <c r="B10" t="inlineStr">
        <is>
          <t>Claude Code should update Status, Actual Result, Evidence, Executed At, and Notes after execution.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6" customWidth="1" min="1" max="1"/>
    <col width="14" customWidth="1" min="2" max="2"/>
    <col width="32" customWidth="1" min="3" max="3"/>
    <col width="14" customWidth="1" min="4" max="4"/>
    <col width="38" customWidth="1" min="5" max="5"/>
    <col width="100" customWidth="1" min="6" max="6"/>
  </cols>
  <sheetData>
    <row r="1">
      <c r="A1" s="1" t="inlineStr">
        <is>
          <t>Run</t>
        </is>
      </c>
      <c r="B1" s="1" t="inlineStr">
        <is>
          <t>Date</t>
        </is>
      </c>
      <c r="C1" s="1" t="inlineStr">
        <is>
          <t>Scope</t>
        </is>
      </c>
      <c r="D1" s="1" t="inlineStr">
        <is>
          <t>Result</t>
        </is>
      </c>
      <c r="E1" s="1" t="inlineStr">
        <is>
          <t>Environment</t>
        </is>
      </c>
      <c r="F1" s="1" t="inlineStr">
        <is>
          <t>Notes</t>
        </is>
      </c>
    </row>
    <row r="2">
      <c r="A2" t="inlineStr">
        <is>
          <t>61AG.3.33</t>
        </is>
      </c>
      <c r="B2" t="inlineStr">
        <is>
          <t>2026-09-05</t>
        </is>
      </c>
      <c r="C2" t="inlineStr">
        <is>
          <t>Local runtime verification of automatic Paxel/JNE booking (RT-001..RT-014)</t>
        </is>
      </c>
      <c r="D2" t="inlineStr">
        <is>
          <t>Runtime verification 17/17; backend unit 146 suites 2400/2400; full integration 15/16 suites, 131/132 tests (1 known unrelated); frontend 96/96; typecheck clean; lint 0 errors (101 pre-existing warnings); browser E2E NOT_RUN (dev servers hold 3000/3002)</t>
        </is>
      </c>
      <c r="E2" t="inlineStr">
        <is>
          <t>Disposable MySQL 8.4 (Testcontainers) + stubbed courier/Qontak transports; shared-dev READ-ONLY audit only; production out of scope</t>
        </is>
      </c>
      <c r="F2" t="inlineStr">
        <is>
          <t>VERIFICATION ONLY — zero source files changed. Confirmed the developer's backend/.env carries the four automatic-pickup values and that both boot guards accept them. The local runtime was NOT booted, deliberately: its DATABASE_URL points at the shared development database, and with SHIPMENT_TRACKING_ENABLED, NOTIFICATION_SENDER_ENABLED, NOTIFICATION_DELIVERY_ENABLED and MIDTRANS_RECONCILIATION_ENABLED all true, booting it would have made real courier, Qontak and Midtrans calls and written to shared-dev — all four forbidden by this phase. Verification therefore ran against disposable MySQL with the REAL provider classes and only the HTTP transports stubbed, which is strictly stronger than 61AG.3.32: the pickup_datetime asserted here is the literal string that would go on the wire. All four payment x courier combinations book automatically end to end. A READ-ONLY audit of shared-dev found ZERO verification fixture rows. Two UI observations reported, not fixed: the admin Shipping status filter omits CREATED and the Orders status filter omits SHIPPED, which are now exactly where every auto-booked record lands; and automatic booking never populates Shipment.trackingUrl, so the order page's "Open Tracking" button stays hidden. checkout-flow.int-spec.ts still fails on its known, pre-existing order.received vs order.transfer expectation - untouched. Browser E2E not run: the developer's own dev servers hold ports 3000/3002. Not committed, not pushed.</t>
        </is>
      </c>
    </row>
    <row r="3">
      <c r="A3" t="inlineStr">
        <is>
          <t>61AG.3.32</t>
        </is>
      </c>
      <c r="B3" t="inlineStr">
        <is>
          <t>2026-09-05</t>
        </is>
      </c>
      <c r="C3" t="inlineStr">
        <is>
          <t>Automatic Paxel pickup schedule + full courier auto-booking (PICK-001..010, BOOK-008..019)</t>
        </is>
      </c>
      <c r="D3" t="inlineStr">
        <is>
          <t>Pickup resolver unit 71/71; courier auto-booking integration 19/19; backend unit 146 suites 2400/2400; full integration 14/15 suites, 114/115 tests (1 known unrelated); frontend 96/96; typecheck + lint clean; browser E2E NOT_RUN (developer's next dev holds ports 3000/3002)</t>
        </is>
      </c>
      <c r="E3" t="inlineStr">
        <is>
          <t>Disposable MySQL 8.4 (Testcontainers) + stubbed Paxel/JNE/Qontak; shared dev untouched; production out of scope</t>
        </is>
      </c>
      <c r="F3" t="inlineStr">
        <is>
          <t>Unblocks the Paxel booking that 61AG.3.31 stopped on. The business supplied the missing rule - a single global cutoff (verified at or before 17:00 Asia/Jakarta -&gt; that day at 19:00, after -&gt; the next calendar day at 19:00) - so the resolver implements exactly that and nothing more: no operating hours, no weekends, no holidays, no external calendar. The reference instant is the authoritative Payment.verifiedAt written inside the settlement transaction, never the clock at booking time, and the resolved slot is PERSISTED before the courier is called so a retry books the appointment already committed to. requiresPickupSchedule was NOT removed - the provider still enforces the real Paxel API requirement; it is now satisfied rather than bypassed. All four payment x courier combinations book automatically. Known operational gap, reported not invented: a retry that happens after the resolved slot has already passed (courier downtime spanning the cutoff) will send a past pickup_datetime, because the rule as stated has no answer for it. checkout-flow.int-spec.ts still fails on its known, pre-existing order.received vs order.transfer expectation - untouched. Browser E2E not run: the developer's own next dev holds the frontend port. Not committed, not pushed.</t>
        </is>
      </c>
    </row>
    <row r="4">
      <c r="A4" t="inlineStr">
        <is>
          <t>61AG.3.31</t>
        </is>
      </c>
      <c r="B4" t="inlineStr">
        <is>
          <t>2026-09-05</t>
        </is>
      </c>
      <c r="C4" t="inlineStr">
        <is>
          <t>Automatic courier booking (BOOK-001..007)</t>
        </is>
      </c>
      <c r="D4" t="inlineStr">
        <is>
          <t>JNE automatic booking 6/6 PASS; Paxel BLOCKED on pickup schedule; backend 2329/2329; integration 14/15 (1 known unrelated)</t>
        </is>
      </c>
      <c r="E4" t="inlineStr">
        <is>
          <t>Disposable MySQL 8.4 + stubbed courier; no shared-dev writes; production out of scope</t>
        </is>
      </c>
      <c r="F4" t="inlineStr">
        <is>
          <t>JNE now books automatically after payment settles - a one-line capability flip (supportsAutomaticBooking false -&gt; true), possible because createShipment was kept complete throughout the manual period and needs no human input. Verified end to end for BANK_TRANSFER and QRIS: cnote persisted, order SHIPPED, one shipped notification carrying courier JNE and the AWB. Idempotency, concurrency, failure and retry all verified. PAXEL WAS NOT ENABLED: its API rejects a booking without pickup_datetime and the repository has no operating-hours model from which a slot could be derived, so a pickup time was NOT invented - the blocker is reported for a business decision. Not committed, not pushed.</t>
        </is>
      </c>
    </row>
    <row r="5">
      <c r="A5" t="inlineStr">
        <is>
          <t>61AG.3.29</t>
        </is>
      </c>
      <c r="B5" t="inlineStr">
        <is>
          <t>2026-09-04</t>
        </is>
      </c>
      <c r="C5" t="inlineStr">
        <is>
          <t>WA lifecycle E2E verification (WA-E2E-001..012)</t>
        </is>
      </c>
      <c r="D5" t="inlineStr">
        <is>
          <t>WA E2E 12/12 PASS; backend 2329/2329; integration 11/12 suites (1 known unrelated); GEO 16/16 API; PHONE 17/17; frontend 96/96</t>
        </is>
      </c>
      <c r="E5" t="inlineStr">
        <is>
          <t>Disposable MySQL 8.4 (Testcontainers) + stubbed Qontak/courier; shared dev untouched; production out of scope</t>
        </is>
      </c>
      <c r="F5" t="inlineStr">
        <is>
          <t>End-to-end verification of the four-event contract against real MySQL. FOUND AND FIXED A P0 the mocked tests could not see: the operator row wrote a 40-character sourceMessageId into a VarChar(36) column, so the insert threw and rolled back the whole transaction - neither the customer invoice nor the admin alert would have been created once QONTAK_ADMIN was wired. Also implemented the courier contract: shipped {{3}} now renders exactly PAXEL / JNE via a dedicated `courier` variable, never the service code or display label. Fixed an unfaithful test fixture: world.checkout() omitted the uploadUrl that real checkout always emits for BANK_TRANSFER, which had been masking a guaranteed permanent send failure. Duplicate protection, rollback semantics, the delivery gate and the GATEWAY regression all verified against the real database. checkout-flow.int-spec.ts still fails on its known, pre-existing order.received vs order.transfer template expectation - untouched. Browser E2E (GEO-001..004, ISO) not run: the developer's own next dev holds the frontend port. Not committed, not pushed.</t>
        </is>
      </c>
    </row>
    <row r="6">
      <c r="A6" t="inlineStr">
        <is>
          <t>61AG.3.28</t>
        </is>
      </c>
      <c r="B6" t="inlineStr">
        <is>
          <t>2026-09-04</t>
        </is>
      </c>
      <c r="C6" t="inlineStr">
        <is>
          <t>WhatsApp order lifecycle implementation (WA-001..024)</t>
        </is>
      </c>
      <c r="D6" t="inlineStr">
        <is>
          <t>WA 21 PASS / 3 NOT_RUN; backend 2328/2328; frontend 96/96</t>
        </is>
      </c>
      <c r="E6" t="inlineStr">
        <is>
          <t>Local only; stubbed Qontak; no DB (Docker stopped); shared dev read-only</t>
        </is>
      </c>
      <c r="F6" t="inlineStr">
        <is>
          <t>Implemented the four-event contract. Customer invoice now resolves QONTAK_INVOICE_TEMPLATE_ID (was QONTAK_ORDER_TEMPLATE_ID, leaving the INVOICE id dead config); the admin alert resolves QONTAK_ORDER_TEMPLATE_ID and is addressed to QONTAK_ADMIN (was OPS_NOTIFICATION_WHATSAPP, unset, so the alert never existed) with payment method and status as separate slots and the button carrying Order.id instead of a full URL. Shipped goes 3 -&gt; 4 params (name, order, courier, AWB); delivered 3 -&gt; 2 (name, order). GATEWAY no longer falls through to the bank-transfer invoice, which used to fail permanently on a missing upload token. Boot-time fail-fast now covers all four templates plus QONTAK_ADMIN. The P0 that actually stopped delivery was configuration: NOTIFICATION_ALLOWED_RECIPIENTS was unset, so the fail-closed gate terminally failed every row; the local .env now sets it. Triggers, outbox architecture, CAS duplicate protection and the upload-token design are unchanged. Not committed, not pushed.</t>
        </is>
      </c>
    </row>
    <row r="7">
      <c r="A7" t="inlineStr">
        <is>
          <t>61AG.3.26</t>
        </is>
      </c>
      <c r="B7" t="inlineStr">
        <is>
          <t>2026-09-04</t>
        </is>
      </c>
      <c r="C7" t="inlineStr">
        <is>
          <t>CSRF hardening (SEC-CSRF-001..018) + regression</t>
        </is>
      </c>
      <c r="D7" t="inlineStr">
        <is>
          <t>CSRF 11 PASS / 1 AUDIT_ONLY / 6 NOT_RUN; backend 2306/2306; frontend 96/96</t>
        </is>
      </c>
      <c r="E7" t="inlineStr">
        <is>
          <t>Local only; unit-level proof (no container needed); browser + HTTP proof blocked by environment</t>
        </is>
      </c>
      <c r="F7" t="inlineStr">
        <is>
          <t>CSRF_MODE default flipped off -&gt; enforce in both declarations (zod schema and the standalone loader the hand-constructed guard uses), so cookie-authenticated mutations now require a valid double-submit token. 38 new unit cases over the real guard pin the old hole as a regression, every exemption with its security reason, 12 negative token cases, token entropy/constant-time/no-rotation, and that the auth cookie is never JS-readable. The isolated E2E stack now sets AUTH_COOKIE_EXTRACTOR_ENABLED and CSRF_MODE explicitly instead of inheriting them from a developer's backend/.env — which is why SEC-006/007/008 had been empty fixme stubs; they are now real tests. NOT EXECUTED: browser and HTTP-level proofs — the developer's own next dev holds the frontend port and Docker Desktop stopped mid-phase; neither was worked around (no process killed, reuseExistingServer left false). Verdict BLOCKED on evidence, not on implementation. Not committed, not pushed.</t>
        </is>
      </c>
    </row>
    <row r="8">
      <c r="A8" t="inlineStr">
        <is>
          <t>61AG.3.25</t>
        </is>
      </c>
      <c r="B8" t="inlineStr">
        <is>
          <t>2026-09-04</t>
        </is>
      </c>
      <c r="C8" t="inlineStr">
        <is>
          <t>Inventory concurrency hardening (BF-017 fix, INV-001..016) + 30-case baseline</t>
        </is>
      </c>
      <c r="D8" t="inlineStr">
        <is>
          <t>Inventory 15/15 PASS; BF-017 fixed; baseline 30/30 PASS; 1 pre-existing unrelated integration failure</t>
        </is>
      </c>
      <c r="E8" t="inlineStr">
        <is>
          <t>Disposable MySQL 8.4 (Testcontainers); no shared dev writes; production out of scope</t>
        </is>
      </c>
      <c r="F8" t="inlineStr">
        <is>
          <t>P0 FIXED: the legacy reservation branch evaluated availability against a non-locking aggregate over a table it had not locked, so under REPEATABLE READ two concurrent checkouts both sold the last unit. Fix is one query: the held quantity is now read FOR UPDATE (a current read) instead of through the transaction snapshot. No schema change, no migration, transaction boundaries and lock ordering untouched. Proven by a new in-repo integration spec that fails against the old code and passes against the new, across 12 independent concurrent races; lifecycle, multi-outlet, outlet independence, deadlock, rollback and idempotency all covered. Unit suite restored to 2270/2270 after updating mocks that encoded the old aggregate. Reported but NOT fixed: unlocked admin stock overwrite (P2), stock-transfer destination `available` drift (P3), and a pre-existing checkout-flow notification template failure surfaced by first running the integration suite. Not committed, not pushed.</t>
        </is>
      </c>
    </row>
    <row r="9">
      <c r="A9" t="inlineStr">
        <is>
          <t>61AG.3.24</t>
        </is>
      </c>
      <c r="B9" t="inlineStr">
        <is>
          <t>2026-09-04</t>
        </is>
      </c>
      <c r="C9" t="inlineStr">
        <is>
          <t>Local business flow audit (BF-001..BF-034) + 30-case baseline</t>
        </is>
      </c>
      <c r="D9" t="inlineStr">
        <is>
          <t>Audit 13 PASS / 4 FAIL / 17 AUDIT_ONLY; baseline 30/30 PASS; 1 P0 found</t>
        </is>
      </c>
      <c r="E9" t="inlineStr">
        <is>
          <t>Local repository review + disposable MySQL 8.4 (tc_stock_race); production and VPS out of scope</t>
        </is>
      </c>
      <c r="F9" t="inlineStr">
        <is>
          <t>READ-ONLY audit, no production code changed. P0: concurrent oversell in the legacy branch of InventoryReservationService.reserveForOrder - FOR UPDATE locks Product but the availability predicate reads a non-locking aggregate over InventoryReservation, so under REPEATABLE READ two checkouts both consume the last unit (proven twice, available=-1); the multi-outlet ProductInventory branch is correct and passes the same race. P1: CSRF_MODE defaults to off with cookie auth active; browser E2E covers only GEO under isolation. P2: unauthenticated write-only /cart/sessions never read or cleaned; invalid ?status= returns 500 instead of 400. Strengths confirmed: money and stock are server-authoritative, order creation is one transaction, webhook is trigger-only with authoritative status re-fetch, checkout idempotency is fence-tokened. No production access, no shared-dev writes, no external calls. Not committed, not pushed.</t>
        </is>
      </c>
    </row>
    <row r="10">
      <c r="A10" t="inlineStr">
        <is>
          <t>61AG.3.23</t>
        </is>
      </c>
      <c r="B10" t="inlineStr">
        <is>
          <t>2026-09-04</t>
        </is>
      </c>
      <c r="C10" t="inlineStr">
        <is>
          <t>Production phone backfill readiness review (PHONE-PROD-001..015) + 30-case baseline</t>
        </is>
      </c>
      <c r="D10" t="inlineStr">
        <is>
          <t>Readiness 9 PASS / 6 BLOCKED / 0 FAIL; baseline 30/30 PASS; production writes 0</t>
        </is>
      </c>
      <c r="E10" t="inlineStr">
        <is>
          <t>Read-only review; disposable MySQL 8.4 for regression; production NOT connected</t>
        </is>
      </c>
      <c r="F10" t="inlineStr">
        <is>
          <t>READ-ONLY. No production write, insert, delete or schema change - production MySQL is unreachable from a workstation by design (bare compose service name, DNS fails, 3306 never published) and no workaround was attempted. Production audit, classification, malformed review, candidate set and collision counts are therefore BLOCKED and must run on the production host. Tool review, dependency trace, backup requirements, execution design, CAS and rollback strategy delivered in a new runbook. Production guard left unconditional; no bypass added. Blocking gaps: backup key not escrowed (F6), no off-server copy (H1), restore cutover unproven. Not committed, not pushed.</t>
        </is>
      </c>
    </row>
    <row r="11">
      <c r="A11" t="inlineStr">
        <is>
          <t>61AG.3.22</t>
        </is>
      </c>
      <c r="B11" t="inlineStr">
        <is>
          <t>2026-09-04</t>
        </is>
      </c>
      <c r="C11" t="inlineStr">
        <is>
          <t>Approved shared-dev phone backfill (PHONE-BF-013..026) + 30-case baseline</t>
        </is>
      </c>
      <c r="D11" t="inlineStr">
        <is>
          <t>Backfill 14 PASS / 0 FAIL; 6/6 rows repaired; baseline 30/30 PASS; PHONE 17/17</t>
        </is>
      </c>
      <c r="E11" t="inlineStr">
        <is>
          <t>Shared dev u122587529_dev_ecommerce (apply) + disposable MySQL 8.4 (tool proof)</t>
        </is>
      </c>
      <c r="F11" t="inlineStr">
        <is>
          <t>First phase permitted to mutate shared development. Six approved Address IDs normalised to canonical 628 through an explicit --target + --ids allowlist; malformed row 7690796f left untouched and still awaiting a data owner. Only phone and updatedAt changed, on those six rows only; all other columns, all other rows, and every NotificationOutbox recipient snapshot unchanged. Second apply = 0 rows. Zero external calls. Production never connected. Not committed, not pushed.</t>
        </is>
      </c>
    </row>
    <row r="12">
      <c r="A12" t="inlineStr">
        <is>
          <t>61AG.3.21</t>
        </is>
      </c>
      <c r="B12" t="inlineStr">
        <is>
          <t>2026-09-04</t>
        </is>
      </c>
      <c r="C12" t="inlineStr">
        <is>
          <t>Safe address phone backfill tool (PHONE-BF-001..012) + 30-case baseline</t>
        </is>
      </c>
      <c r="D12" t="inlineStr">
        <is>
          <t>Backfill 12 PASS / 0 FAIL; baseline 30/30 PASS; PHONE 17/17 API re-run</t>
        </is>
      </c>
      <c r="E12" t="inlineStr">
        <is>
          <t>Disposable MySQL 8.4 (e2e_phone_backfill) + isolated E2E stack</t>
        </is>
      </c>
      <c r="F12" t="inlineStr">
        <is>
          <t>Tool added at backend/prisma/tools/normalize-address-phone.ts: dry-run by default, --apply to mutate, refuses production/shared/non-disposable databases before reading any row, single transaction with compare-and-set and an affected-row assertion. Executed ONLY against a disposable container. Shared dev DB not written; production never connected. 6 real legacy rows would normalise, 1 malformed row quarantines for a data owner. Not committed, not pushed.</t>
        </is>
      </c>
    </row>
    <row r="13">
      <c r="A13" t="inlineStr">
        <is>
          <t>61AG.3.20</t>
        </is>
      </c>
      <c r="B13" t="inlineStr">
        <is>
          <t>2026-09-04</t>
        </is>
      </c>
      <c r="C13" t="inlineStr">
        <is>
          <t>Mobile-only + canonical 628 phone contract; PHONE-001..036 + 30-case baseline</t>
        </is>
      </c>
      <c r="D13" t="inlineStr">
        <is>
          <t>Phone 33 PASS / 0 FAIL / 3 NOT_RUN; baseline 30/30 PASS</t>
        </is>
      </c>
      <c r="E13" t="inlineStr">
        <is>
          <t>Isolated E2E stack + disposable MySQL API runner</t>
        </is>
      </c>
      <c r="F13" t="inlineStr">
        <is>
          <t>Address.phone is now Indonesian-mobile-only, normalised to canonical 628… before persistence. Landlines, foreign and malformed numbers rejected at CREATE and PATCH. normalizePhoneNumber() left unchanged for existing consumers. Zero real Google/Paxel/JNE/Qontak/payment calls; shared dev DB read-only.</t>
        </is>
      </c>
    </row>
    <row r="14">
      <c r="A14" t="inlineStr">
        <is>
          <t>61AG.3.19</t>
        </is>
      </c>
      <c r="B14" t="inlineStr">
        <is>
          <t>2026-09-04</t>
        </is>
      </c>
      <c r="C14" t="inlineStr">
        <is>
          <t>Address phone QA audit + 30-case E2E baseline</t>
        </is>
      </c>
      <c r="D14" t="inlineStr">
        <is>
          <t>Baseline 30/30 PASS; phone 6 PASS / 4 FAIL / 3 BLOCKED / 2 NOT_RUN</t>
        </is>
      </c>
      <c r="E14" t="inlineStr">
        <is>
          <t>Isolated E2E stack + disposable MySQL phone probe</t>
        </is>
      </c>
      <c r="F14" t="inlineStr">
        <is>
          <t>Audit only - no production code changed. Address phone validation is length-only (@IsString + @Length(10,15)); alphabetic/garbage values are accepted and persisted. Mobile-only and normalisation contracts undecided.</t>
        </is>
      </c>
    </row>
    <row r="15">
      <c r="A15" t="inlineStr">
        <is>
          <t>61AG.3.18</t>
        </is>
      </c>
      <c r="B15" t="inlineStr">
        <is>
          <t>2026-09-04</t>
        </is>
      </c>
      <c r="C15" t="inlineStr">
        <is>
          <t>Full executable set (30 cases)</t>
        </is>
      </c>
      <c r="D15" t="inlineStr">
        <is>
          <t>30 PASS / 0 FAIL</t>
        </is>
      </c>
      <c r="E15" t="inlineStr">
        <is>
          <t>Repository-owned isolated E2E stack + disposable MySQL API runner</t>
        </is>
      </c>
      <c r="F15" t="inlineStr">
        <is>
          <t>Option A locked: CREATE is server-authoritative. GEO-011 contract updated (implementation unchanged). Zero real Google/Paxel/JNE/payment calls; shared dev DB untouched.</t>
        </is>
      </c>
    </row>
    <row r="16">
      <c r="A16" t="inlineStr">
        <is>
          <t>61AG.3.17</t>
        </is>
      </c>
      <c r="B16" t="inlineStr">
        <is>
          <t>2026-09-04</t>
        </is>
      </c>
      <c r="C16" t="inlineStr">
        <is>
          <t>Full executable set (30 cases)</t>
        </is>
      </c>
      <c r="D16" t="inlineStr">
        <is>
          <t>29 PASS / 1 FAIL</t>
        </is>
      </c>
      <c r="E16" t="inlineStr">
        <is>
          <t>Repository-owned isolated E2E stack + disposable MySQL API runner</t>
        </is>
      </c>
      <c r="F16" t="inlineStr">
        <is>
          <t>Zero real Google/Paxel/JNE/payment calls; shared dev DB untouched; GEO-011 failed: create overwrites client-supplied valid coordinates.</t>
        </is>
      </c>
    </row>
    <row r="17">
      <c r="A17" s="2" t="inlineStr">
        <is>
          <t>61AG.3.16</t>
        </is>
      </c>
      <c r="B17" s="2" t="inlineStr">
        <is>
          <t>2026-09-04</t>
        </is>
      </c>
      <c r="C17" s="2" t="inlineStr">
        <is>
          <t>GEO-001..004 + B2 isolation gates</t>
        </is>
      </c>
      <c r="D17" s="2" t="inlineStr">
        <is>
          <t>PASS</t>
        </is>
      </c>
      <c r="E17" s="2" t="inlineStr">
        <is>
          <t>Repository-owned isolated E2E stack</t>
        </is>
      </c>
      <c r="F17" s="2" t="inlineStr">
        <is>
          <t>Disposable MySQL 8.4; Google/Paxel stubs; no production/shared DB; cleanup passed.</t>
        </is>
      </c>
    </row>
    <row r="18">
      <c r="A18" s="2" t="inlineStr">
        <is>
          <t>61AG.3.15</t>
        </is>
      </c>
      <c r="B18" s="2" t="inlineStr">
        <is>
          <t>2026-09-04</t>
        </is>
      </c>
      <c r="C18" s="2" t="inlineStr">
        <is>
          <t>GEO collection/B1</t>
        </is>
      </c>
      <c r="D18" s="2" t="inlineStr">
        <is>
          <t>PASS</t>
        </is>
      </c>
      <c r="E18" s="2" t="inlineStr">
        <is>
          <t>Existing harness/state</t>
        </is>
      </c>
      <c r="F18" s="2" t="inlineStr">
        <is>
          <t>Collection no longer crashes when E2E_OUT_DIR is absent.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2026-09-04T02:45:18Z</dcterms:created>
  <dcterms:modified xsi:type="dcterms:W3CDTF">2026-09-05T02:52:10Z</dcterms:modified>
</cp:coreProperties>
</file>